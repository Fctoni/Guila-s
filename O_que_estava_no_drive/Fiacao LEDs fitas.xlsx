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u Drive\Automacao\Casa do Gui\"/>
    </mc:Choice>
  </mc:AlternateContent>
  <xr:revisionPtr revIDLastSave="0" documentId="13_ncr:1_{DC656AB7-F91D-408E-A5A2-8AEB24C7DD5C}" xr6:coauthVersionLast="47" xr6:coauthVersionMax="47" xr10:uidLastSave="{00000000-0000-0000-0000-000000000000}"/>
  <bookViews>
    <workbookView xWindow="-120" yWindow="-120" windowWidth="29040" windowHeight="15840" xr2:uid="{1AC9F08D-7C4B-415A-9D01-F3FF9EE530FD}"/>
  </bookViews>
  <sheets>
    <sheet name="Planilha1" sheetId="1" r:id="rId1"/>
    <sheet name="Fon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E37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" i="2"/>
  <c r="C37" i="2"/>
  <c r="L7" i="1"/>
  <c r="L8" i="1"/>
  <c r="L9" i="1"/>
  <c r="L12" i="1"/>
  <c r="L13" i="1"/>
  <c r="L14" i="1"/>
  <c r="L15" i="1"/>
  <c r="L16" i="1"/>
  <c r="L17" i="1"/>
  <c r="L18" i="1"/>
  <c r="L19" i="1"/>
  <c r="L20" i="1"/>
  <c r="L21" i="1"/>
  <c r="K7" i="1"/>
  <c r="K8" i="1"/>
  <c r="K9" i="1"/>
  <c r="K13" i="1"/>
  <c r="K14" i="1"/>
  <c r="K15" i="1"/>
  <c r="K16" i="1"/>
  <c r="K17" i="1"/>
  <c r="K18" i="1"/>
  <c r="K19" i="1"/>
  <c r="K20" i="1"/>
  <c r="K21" i="1"/>
  <c r="K22" i="1"/>
  <c r="J7" i="1"/>
  <c r="J8" i="1"/>
  <c r="J9" i="1"/>
  <c r="J13" i="1"/>
  <c r="J14" i="1"/>
  <c r="J15" i="1"/>
  <c r="J16" i="1"/>
  <c r="J17" i="1"/>
  <c r="J18" i="1"/>
  <c r="J19" i="1"/>
  <c r="J20" i="1"/>
  <c r="J21" i="1"/>
  <c r="J22" i="1"/>
  <c r="J23" i="1"/>
  <c r="N6" i="1"/>
  <c r="L22" i="1" s="1"/>
  <c r="P11" i="1"/>
  <c r="F28" i="1"/>
  <c r="G28" i="1" s="1"/>
  <c r="F27" i="1"/>
  <c r="G27" i="1" s="1"/>
  <c r="F26" i="1"/>
  <c r="G26" i="1" s="1"/>
  <c r="F21" i="1"/>
  <c r="G21" i="1" s="1"/>
  <c r="F20" i="1"/>
  <c r="G20" i="1" s="1"/>
  <c r="F18" i="1"/>
  <c r="G18" i="1" s="1"/>
  <c r="F17" i="1"/>
  <c r="G17" i="1" s="1"/>
  <c r="F16" i="1"/>
  <c r="G16" i="1" s="1"/>
  <c r="F14" i="1"/>
  <c r="G14" i="1" s="1"/>
  <c r="F12" i="1"/>
  <c r="G12" i="1" s="1"/>
  <c r="F11" i="1"/>
  <c r="G11" i="1" s="1"/>
  <c r="F10" i="1"/>
  <c r="G10" i="1" s="1"/>
  <c r="F5" i="1"/>
  <c r="G5" i="1" s="1"/>
  <c r="F4" i="1"/>
  <c r="G4" i="1" s="1"/>
  <c r="F3" i="1"/>
  <c r="G3" i="1" s="1"/>
  <c r="C29" i="1"/>
  <c r="F29" i="1" s="1"/>
  <c r="G29" i="1" s="1"/>
  <c r="C25" i="1"/>
  <c r="F25" i="1" s="1"/>
  <c r="G25" i="1" s="1"/>
  <c r="C24" i="1"/>
  <c r="F24" i="1" s="1"/>
  <c r="G24" i="1" s="1"/>
  <c r="C23" i="1"/>
  <c r="F23" i="1" s="1"/>
  <c r="G23" i="1" s="1"/>
  <c r="C22" i="1"/>
  <c r="F22" i="1" s="1"/>
  <c r="G22" i="1" s="1"/>
  <c r="C21" i="1"/>
  <c r="C20" i="1"/>
  <c r="C15" i="1"/>
  <c r="F15" i="1" s="1"/>
  <c r="G15" i="1" s="1"/>
  <c r="C19" i="1"/>
  <c r="F19" i="1" s="1"/>
  <c r="G19" i="1" s="1"/>
  <c r="C18" i="1"/>
  <c r="C17" i="1"/>
  <c r="C14" i="1"/>
  <c r="C13" i="1"/>
  <c r="F13" i="1" s="1"/>
  <c r="G13" i="1" s="1"/>
  <c r="C12" i="1"/>
  <c r="C10" i="1"/>
  <c r="C9" i="1"/>
  <c r="F9" i="1" s="1"/>
  <c r="G9" i="1" s="1"/>
  <c r="C8" i="1"/>
  <c r="F8" i="1" s="1"/>
  <c r="G8" i="1" s="1"/>
  <c r="C7" i="1"/>
  <c r="F7" i="1" s="1"/>
  <c r="G7" i="1" s="1"/>
  <c r="C6" i="1"/>
  <c r="F6" i="1" s="1"/>
  <c r="G6" i="1" s="1"/>
  <c r="K12" i="1" l="1"/>
  <c r="L11" i="1"/>
  <c r="L6" i="1"/>
  <c r="L10" i="1"/>
  <c r="J10" i="1"/>
  <c r="J6" i="1"/>
  <c r="K5" i="1"/>
  <c r="L4" i="1"/>
  <c r="J5" i="1"/>
  <c r="K4" i="1"/>
  <c r="L3" i="1"/>
  <c r="R9" i="1"/>
  <c r="J4" i="1"/>
  <c r="K3" i="1"/>
  <c r="L5" i="1"/>
  <c r="J3" i="1"/>
  <c r="L29" i="1"/>
  <c r="K29" i="1"/>
  <c r="L28" i="1"/>
  <c r="J12" i="1"/>
  <c r="K6" i="1"/>
  <c r="J29" i="1"/>
  <c r="K28" i="1"/>
  <c r="L27" i="1"/>
  <c r="J28" i="1"/>
  <c r="K27" i="1"/>
  <c r="L26" i="1"/>
  <c r="K11" i="1"/>
  <c r="J27" i="1"/>
  <c r="K26" i="1"/>
  <c r="L25" i="1"/>
  <c r="J11" i="1"/>
  <c r="J26" i="1"/>
  <c r="K25" i="1"/>
  <c r="L24" i="1"/>
  <c r="J25" i="1"/>
  <c r="K24" i="1"/>
  <c r="L23" i="1"/>
  <c r="K10" i="1"/>
  <c r="J24" i="1"/>
  <c r="K23" i="1"/>
  <c r="O8" i="1"/>
</calcChain>
</file>

<file path=xl/sharedStrings.xml><?xml version="1.0" encoding="utf-8"?>
<sst xmlns="http://schemas.openxmlformats.org/spreadsheetml/2006/main" count="53" uniqueCount="35">
  <si>
    <t>Circuito nº</t>
  </si>
  <si>
    <t>Potência</t>
  </si>
  <si>
    <t>Distância</t>
  </si>
  <si>
    <t>Tensão</t>
  </si>
  <si>
    <t>Corrente</t>
  </si>
  <si>
    <t>Queda de tensão aceitável:</t>
  </si>
  <si>
    <t>v</t>
  </si>
  <si>
    <t>Resistividade</t>
  </si>
  <si>
    <t>V=R.i</t>
  </si>
  <si>
    <t>resistividade cobre</t>
  </si>
  <si>
    <t>R = ρ * (L/A)</t>
  </si>
  <si>
    <t>R=</t>
  </si>
  <si>
    <t>2,5</t>
  </si>
  <si>
    <t>4</t>
  </si>
  <si>
    <t>6</t>
  </si>
  <si>
    <t>Fio Escolhido</t>
  </si>
  <si>
    <t>Ω⋅mm²/m</t>
  </si>
  <si>
    <t>Banho 01</t>
  </si>
  <si>
    <t>Banho 02</t>
  </si>
  <si>
    <t>Cozinha + jantar</t>
  </si>
  <si>
    <t>Estar</t>
  </si>
  <si>
    <t>Externo porta principal</t>
  </si>
  <si>
    <t>Externo floreira leste</t>
  </si>
  <si>
    <t>Externo floreira noroeste</t>
  </si>
  <si>
    <t>Garagem</t>
  </si>
  <si>
    <t>Hall Intimo</t>
  </si>
  <si>
    <t>Hall Superior</t>
  </si>
  <si>
    <t>Lavabo</t>
  </si>
  <si>
    <t>Lavanderia</t>
  </si>
  <si>
    <t>Office</t>
  </si>
  <si>
    <t>Sauna</t>
  </si>
  <si>
    <t>Suíte 02</t>
  </si>
  <si>
    <t>Suíte master</t>
  </si>
  <si>
    <t>Suíte master banho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</si>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</sst>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4"/>
      <color rgb="FF001D3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8" fontId="0" fillId="0" borderId="0" xfId="0" applyNumberFormat="1"/>
    <xf numFmtId="2" fontId="0" fillId="0" borderId="0" xfId="0" applyNumberForma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1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E34BBC-50D7-4CB6-8938-BDB5962D527B}" name="Tabela2" displayName="Tabela2" ref="B2:L29" totalsRowShown="0">
  <autoFilter ref="B2:L29" xr:uid="{07E34BBC-50D7-4CB6-8938-BDB5962D527B}"/>
  <tableColumns count="11">
    <tableColumn id="1" xr3:uid="{A4B36AB3-D07A-443D-A967-1E2F3104A7C9}" name="Circuito nº" dataDxfId="10"/>
    <tableColumn id="2" xr3:uid="{0B22C8E4-3325-4DE0-8D79-E5A390521B4A}" name="Potência" dataDxfId="9"/>
    <tableColumn id="3" xr3:uid="{31D9F8D6-E723-4947-AF85-6C52C53B291A}" name="Tensão" dataDxfId="8"/>
    <tableColumn id="4" xr3:uid="{DECEDCB7-7827-4151-94B9-54BDF692F3F1}" name="Distância" dataDxfId="7"/>
    <tableColumn id="5" xr3:uid="{29B7F65A-BC86-432C-9329-B1BE559FEC75}" name="Corrente" dataDxfId="6">
      <calculatedColumnFormula>C3/D3</calculatedColumnFormula>
    </tableColumn>
    <tableColumn id="6" xr3:uid="{054F94E1-078D-4666-8577-649E676F3D8A}" name="Resistividade" dataDxfId="5">
      <calculatedColumnFormula>$E$1/Tabela2[[#This Row],[Corrente]]</calculatedColumnFormula>
    </tableColumn>
    <tableColumn id="10" xr3:uid="{6EA5868C-350F-4EDD-9994-10E777AF3B86}" name="Fio Escolhido" dataDxfId="4"/>
    <tableColumn id="11" xr3:uid="{354A5BA7-52DD-410A-81A7-26C990F47F5C}" name="1,5" dataDxfId="3">
      <calculatedColumnFormula>$N$6*(Tabela2[[#This Row],[Distância]]*2)/$I$2*Tabela2[[#This Row],[Corrente]]</calculatedColumnFormula>
    </tableColumn>
    <tableColumn id="7" xr3:uid="{EEB56A05-239A-47E9-9DF6-4D17A9A50767}" name="2,5" dataDxfId="2">
      <calculatedColumnFormula>$N$6*(Tabela2[[#This Row],[Distância]]*2)/$J$2*Tabela2[[#This Row],[Corrente]]</calculatedColumnFormula>
    </tableColumn>
    <tableColumn id="8" xr3:uid="{AB099A7F-6960-4E64-97B3-7AC1DBA0DA2B}" name="4" dataDxfId="1">
      <calculatedColumnFormula>$N$6*(Tabela2[[#This Row],[Distância]]*2)/$K$2*Tabela2[[#This Row],[Corrente]]</calculatedColumnFormula>
    </tableColumn>
    <tableColumn id="9" xr3:uid="{610B2831-694C-43EB-9506-A080D62A1BDF}" name="6" dataDxfId="0">
      <calculatedColumnFormula>$N$6*(Tabela2[[#This Row],[Distância]]*2)/$L$2*Tabela2[[#This Row],[Corrente]]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09354-5BDE-4036-9ABD-13C3DA9FE4CF}">
  <dimension ref="B1:R29"/>
  <sheetViews>
    <sheetView tabSelected="1" workbookViewId="0">
      <selection activeCell="J27" sqref="J27"/>
    </sheetView>
  </sheetViews>
  <sheetFormatPr defaultRowHeight="15" x14ac:dyDescent="0.25"/>
  <cols>
    <col min="2" max="2" width="12.85546875" customWidth="1"/>
    <col min="3" max="3" width="11" customWidth="1"/>
    <col min="4" max="4" width="9.5703125" customWidth="1"/>
    <col min="5" max="5" width="11.5703125" customWidth="1"/>
    <col min="6" max="6" width="11.28515625" customWidth="1"/>
    <col min="7" max="7" width="15.42578125" hidden="1" customWidth="1"/>
    <col min="8" max="9" width="15.42578125" customWidth="1"/>
    <col min="14" max="14" width="12" bestFit="1" customWidth="1"/>
  </cols>
  <sheetData>
    <row r="1" spans="2:18" x14ac:dyDescent="0.25">
      <c r="B1" t="s">
        <v>5</v>
      </c>
      <c r="E1">
        <v>1</v>
      </c>
      <c r="F1" t="s">
        <v>6</v>
      </c>
    </row>
    <row r="2" spans="2:18" x14ac:dyDescent="0.25">
      <c r="B2" s="2" t="s">
        <v>0</v>
      </c>
      <c r="C2" s="2" t="s">
        <v>1</v>
      </c>
      <c r="D2" s="2" t="s">
        <v>3</v>
      </c>
      <c r="E2" s="2" t="s">
        <v>2</v>
      </c>
      <c r="F2" s="2" t="s">
        <v>4</v>
      </c>
      <c r="G2" s="2" t="s">
        <v>7</v>
      </c>
      <c r="H2" s="2" t="s">
        <v>15</v>
      </c>
      <c r="I2" s="2" t="s">
        <v>34</v>
      </c>
      <c r="J2" t="s">
        <v>12</v>
      </c>
      <c r="K2" t="s">
        <v>13</v>
      </c>
      <c r="L2" t="s">
        <v>14</v>
      </c>
    </row>
    <row r="3" spans="2:18" x14ac:dyDescent="0.25">
      <c r="B3" s="2">
        <v>3</v>
      </c>
      <c r="C3" s="2">
        <v>115</v>
      </c>
      <c r="D3" s="2">
        <v>24</v>
      </c>
      <c r="E3" s="2">
        <v>4.5</v>
      </c>
      <c r="F3" s="3">
        <f>C3/D3</f>
        <v>4.791666666666667</v>
      </c>
      <c r="G3" s="3">
        <f>$E$1/Tabela2[[#This Row],[Corrente]]</f>
        <v>0.20869565217391303</v>
      </c>
      <c r="H3" s="3">
        <v>2.5</v>
      </c>
      <c r="I3" s="8">
        <f>$N$6*(Tabela2[[#This Row],[Distância]]*2)/$I$2*Tabela2[[#This Row],[Corrente]]</f>
        <v>0.48875000000000013</v>
      </c>
      <c r="J3" s="7">
        <f>$N$6*(Tabela2[[#This Row],[Distância]]*2)/$J$2*Tabela2[[#This Row],[Corrente]]</f>
        <v>0.29325000000000007</v>
      </c>
      <c r="K3" s="7">
        <f>$N$6*(Tabela2[[#This Row],[Distância]]*2)/$K$2*Tabela2[[#This Row],[Corrente]]</f>
        <v>0.18328125000000003</v>
      </c>
      <c r="L3" s="7">
        <f>$N$6*(Tabela2[[#This Row],[Distância]]*2)/$L$2*Tabela2[[#This Row],[Corrente]]</f>
        <v>0.12218750000000003</v>
      </c>
      <c r="N3" t="s">
        <v>8</v>
      </c>
    </row>
    <row r="4" spans="2:18" x14ac:dyDescent="0.25">
      <c r="B4" s="2">
        <v>3</v>
      </c>
      <c r="C4" s="2">
        <v>9.35</v>
      </c>
      <c r="D4" s="2">
        <v>24</v>
      </c>
      <c r="E4" s="2">
        <v>6</v>
      </c>
      <c r="F4" s="3">
        <f t="shared" ref="F4:F29" si="0">C4/D4</f>
        <v>0.38958333333333334</v>
      </c>
      <c r="G4" s="3">
        <f>$E$1/Tabela2[[#This Row],[Corrente]]</f>
        <v>2.5668449197860963</v>
      </c>
      <c r="H4" s="3">
        <v>2.5</v>
      </c>
      <c r="I4" s="8">
        <f>$N$6*(Tabela2[[#This Row],[Distância]]*2)/$I$2*Tabela2[[#This Row],[Corrente]]</f>
        <v>5.2983333333333341E-2</v>
      </c>
      <c r="J4" s="7">
        <f>$N$6*(Tabela2[[#This Row],[Distância]]*2)/$J$2*Tabela2[[#This Row],[Corrente]]</f>
        <v>3.1790000000000006E-2</v>
      </c>
      <c r="K4" s="7">
        <f>$N$6*(Tabela2[[#This Row],[Distância]]*2)/$K$2*Tabela2[[#This Row],[Corrente]]</f>
        <v>1.9868750000000001E-2</v>
      </c>
      <c r="L4" s="7">
        <f>$N$6*(Tabela2[[#This Row],[Distância]]*2)/$L$2*Tabela2[[#This Row],[Corrente]]</f>
        <v>1.3245833333333335E-2</v>
      </c>
    </row>
    <row r="5" spans="2:18" ht="18" x14ac:dyDescent="0.25">
      <c r="B5" s="2">
        <v>5</v>
      </c>
      <c r="C5" s="2">
        <v>280</v>
      </c>
      <c r="D5" s="2">
        <v>24</v>
      </c>
      <c r="E5" s="2">
        <v>3</v>
      </c>
      <c r="F5" s="3">
        <f t="shared" si="0"/>
        <v>11.666666666666666</v>
      </c>
      <c r="G5" s="3">
        <f>$E$1/Tabela2[[#This Row],[Corrente]]</f>
        <v>8.5714285714285715E-2</v>
      </c>
      <c r="H5" s="3">
        <v>2.5</v>
      </c>
      <c r="I5" s="8">
        <f>$N$6*(Tabela2[[#This Row],[Distância]]*2)/$I$2*Tabela2[[#This Row],[Corrente]]</f>
        <v>0.79333333333333333</v>
      </c>
      <c r="J5" s="7">
        <f>$N$6*(Tabela2[[#This Row],[Distância]]*2)/$J$2*Tabela2[[#This Row],[Corrente]]</f>
        <v>0.47600000000000003</v>
      </c>
      <c r="K5" s="7">
        <f>$N$6*(Tabela2[[#This Row],[Distância]]*2)/$K$2*Tabela2[[#This Row],[Corrente]]</f>
        <v>0.29749999999999999</v>
      </c>
      <c r="L5" s="7">
        <f>$N$6*(Tabela2[[#This Row],[Distância]]*2)/$L$2*Tabela2[[#This Row],[Corrente]]</f>
        <v>0.19833333333333333</v>
      </c>
      <c r="N5" t="s">
        <v>9</v>
      </c>
      <c r="Q5" s="1" t="s">
        <v>10</v>
      </c>
    </row>
    <row r="6" spans="2:18" x14ac:dyDescent="0.25">
      <c r="B6" s="4">
        <v>16</v>
      </c>
      <c r="C6" s="4">
        <f>16*19</f>
        <v>304</v>
      </c>
      <c r="D6" s="4">
        <v>24</v>
      </c>
      <c r="E6" s="4">
        <v>14</v>
      </c>
      <c r="F6" s="5">
        <f t="shared" si="0"/>
        <v>12.666666666666666</v>
      </c>
      <c r="G6" s="5">
        <f>$E$1/Tabela2[[#This Row],[Corrente]]</f>
        <v>7.8947368421052641E-2</v>
      </c>
      <c r="H6" s="5">
        <v>6</v>
      </c>
      <c r="I6" s="7">
        <f>$N$6*(Tabela2[[#This Row],[Distância]]*2)/$I$2*Tabela2[[#This Row],[Corrente]]</f>
        <v>4.0195555555555558</v>
      </c>
      <c r="J6" s="7">
        <f>$N$6*(Tabela2[[#This Row],[Distância]]*2)/$J$2*Tabela2[[#This Row],[Corrente]]</f>
        <v>2.4117333333333333</v>
      </c>
      <c r="K6" s="7">
        <f>$N$6*(Tabela2[[#This Row],[Distância]]*2)/$K$2*Tabela2[[#This Row],[Corrente]]</f>
        <v>1.5073333333333334</v>
      </c>
      <c r="L6" s="8">
        <f>$N$6*(Tabela2[[#This Row],[Distância]]*2)/$L$2*Tabela2[[#This Row],[Corrente]]</f>
        <v>1.0048888888888889</v>
      </c>
      <c r="N6">
        <f>0.017</f>
        <v>1.7000000000000001E-2</v>
      </c>
      <c r="O6" t="s">
        <v>16</v>
      </c>
    </row>
    <row r="7" spans="2:18" x14ac:dyDescent="0.25">
      <c r="B7" s="2">
        <v>20</v>
      </c>
      <c r="C7" s="2">
        <f>2.8*8.5</f>
        <v>23.799999999999997</v>
      </c>
      <c r="D7" s="2">
        <v>24</v>
      </c>
      <c r="E7" s="2">
        <v>12</v>
      </c>
      <c r="F7" s="3">
        <f t="shared" si="0"/>
        <v>0.99166666666666659</v>
      </c>
      <c r="G7" s="3">
        <f>$E$1/Tabela2[[#This Row],[Corrente]]</f>
        <v>1.008403361344538</v>
      </c>
      <c r="H7" s="3">
        <v>2.5</v>
      </c>
      <c r="I7" s="8">
        <f>$N$6*(Tabela2[[#This Row],[Distância]]*2)/$I$2*Tabela2[[#This Row],[Corrente]]</f>
        <v>0.26973333333333332</v>
      </c>
      <c r="J7" s="7">
        <f>$N$6*(Tabela2[[#This Row],[Distância]]*2)/$J$2*Tabela2[[#This Row],[Corrente]]</f>
        <v>0.16184000000000001</v>
      </c>
      <c r="K7" s="7">
        <f>$N$6*(Tabela2[[#This Row],[Distância]]*2)/$K$2*Tabela2[[#This Row],[Corrente]]</f>
        <v>0.10115</v>
      </c>
      <c r="L7" s="7">
        <f>$N$6*(Tabela2[[#This Row],[Distância]]*2)/$L$2*Tabela2[[#This Row],[Corrente]]</f>
        <v>6.7433333333333331E-2</v>
      </c>
    </row>
    <row r="8" spans="2:18" x14ac:dyDescent="0.25">
      <c r="B8" s="2">
        <v>12</v>
      </c>
      <c r="C8" s="2">
        <f>2.8*8.5</f>
        <v>23.799999999999997</v>
      </c>
      <c r="D8" s="2">
        <v>24</v>
      </c>
      <c r="E8" s="2">
        <v>10</v>
      </c>
      <c r="F8" s="3">
        <f t="shared" si="0"/>
        <v>0.99166666666666659</v>
      </c>
      <c r="G8" s="3">
        <f>$E$1/Tabela2[[#This Row],[Corrente]]</f>
        <v>1.008403361344538</v>
      </c>
      <c r="H8" s="3">
        <v>2.5</v>
      </c>
      <c r="I8" s="8">
        <f>$N$6*(Tabela2[[#This Row],[Distância]]*2)/$I$2*Tabela2[[#This Row],[Corrente]]</f>
        <v>0.22477777777777777</v>
      </c>
      <c r="J8" s="7">
        <f>$N$6*(Tabela2[[#This Row],[Distância]]*2)/$J$2*Tabela2[[#This Row],[Corrente]]</f>
        <v>0.13486666666666666</v>
      </c>
      <c r="K8" s="7">
        <f>$N$6*(Tabela2[[#This Row],[Distância]]*2)/$K$2*Tabela2[[#This Row],[Corrente]]</f>
        <v>8.4291666666666668E-2</v>
      </c>
      <c r="L8" s="7">
        <f>$N$6*(Tabela2[[#This Row],[Distância]]*2)/$L$2*Tabela2[[#This Row],[Corrente]]</f>
        <v>5.6194444444444443E-2</v>
      </c>
      <c r="N8" t="s">
        <v>11</v>
      </c>
      <c r="O8">
        <f>N6*4.5/2.5*10^6</f>
        <v>30600.000000000007</v>
      </c>
    </row>
    <row r="9" spans="2:18" x14ac:dyDescent="0.25">
      <c r="B9" s="2">
        <v>12</v>
      </c>
      <c r="C9" s="2">
        <f>2*8.5</f>
        <v>17</v>
      </c>
      <c r="D9" s="2">
        <v>24</v>
      </c>
      <c r="E9" s="2">
        <v>7</v>
      </c>
      <c r="F9" s="3">
        <f t="shared" si="0"/>
        <v>0.70833333333333337</v>
      </c>
      <c r="G9" s="3">
        <f>$E$1/Tabela2[[#This Row],[Corrente]]</f>
        <v>1.4117647058823528</v>
      </c>
      <c r="H9" s="3">
        <v>2.5</v>
      </c>
      <c r="I9" s="8">
        <f>$N$6*(Tabela2[[#This Row],[Distância]]*2)/$I$2*Tabela2[[#This Row],[Corrente]]</f>
        <v>0.1123888888888889</v>
      </c>
      <c r="J9" s="7">
        <f>$N$6*(Tabela2[[#This Row],[Distância]]*2)/$J$2*Tabela2[[#This Row],[Corrente]]</f>
        <v>6.7433333333333345E-2</v>
      </c>
      <c r="K9" s="7">
        <f>$N$6*(Tabela2[[#This Row],[Distância]]*2)/$K$2*Tabela2[[#This Row],[Corrente]]</f>
        <v>4.2145833333333341E-2</v>
      </c>
      <c r="L9" s="7">
        <f>$N$6*(Tabela2[[#This Row],[Distância]]*2)/$L$2*Tabela2[[#This Row],[Corrente]]</f>
        <v>2.8097222222222225E-2</v>
      </c>
      <c r="R9">
        <f>N6*1000/2.63*1000000</f>
        <v>6463878.3269961979</v>
      </c>
    </row>
    <row r="10" spans="2:18" x14ac:dyDescent="0.25">
      <c r="B10" s="2">
        <v>7</v>
      </c>
      <c r="C10" s="2">
        <f>15*14</f>
        <v>210</v>
      </c>
      <c r="D10" s="2">
        <v>24</v>
      </c>
      <c r="E10" s="2">
        <v>5.6</v>
      </c>
      <c r="F10" s="3">
        <f t="shared" si="0"/>
        <v>8.75</v>
      </c>
      <c r="G10" s="3">
        <f>$E$1/Tabela2[[#This Row],[Corrente]]</f>
        <v>0.11428571428571428</v>
      </c>
      <c r="H10" s="3">
        <v>2.5</v>
      </c>
      <c r="I10" s="7">
        <f>$N$6*(Tabela2[[#This Row],[Distância]]*2)/$I$2*Tabela2[[#This Row],[Corrente]]</f>
        <v>1.1106666666666667</v>
      </c>
      <c r="J10" s="8">
        <f>$N$6*(Tabela2[[#This Row],[Distância]]*2)/$J$2*Tabela2[[#This Row],[Corrente]]</f>
        <v>0.6664000000000001</v>
      </c>
      <c r="K10" s="7">
        <f>$N$6*(Tabela2[[#This Row],[Distância]]*2)/$K$2*Tabela2[[#This Row],[Corrente]]</f>
        <v>0.41650000000000004</v>
      </c>
      <c r="L10" s="7">
        <f>$N$6*(Tabela2[[#This Row],[Distância]]*2)/$L$2*Tabela2[[#This Row],[Corrente]]</f>
        <v>0.27766666666666667</v>
      </c>
    </row>
    <row r="11" spans="2:18" x14ac:dyDescent="0.25">
      <c r="B11" s="2">
        <v>4</v>
      </c>
      <c r="C11" s="2">
        <v>228</v>
      </c>
      <c r="D11" s="2">
        <v>24</v>
      </c>
      <c r="E11" s="2">
        <v>3</v>
      </c>
      <c r="F11" s="3">
        <f t="shared" si="0"/>
        <v>9.5</v>
      </c>
      <c r="G11" s="3">
        <f>$E$1/Tabela2[[#This Row],[Corrente]]</f>
        <v>0.10526315789473684</v>
      </c>
      <c r="H11" s="3">
        <v>2.5</v>
      </c>
      <c r="I11" s="8">
        <f>$N$6*(Tabela2[[#This Row],[Distância]]*2)/$I$2*Tabela2[[#This Row],[Corrente]]</f>
        <v>0.64600000000000002</v>
      </c>
      <c r="J11" s="7">
        <f>$N$6*(Tabela2[[#This Row],[Distância]]*2)/$J$2*Tabela2[[#This Row],[Corrente]]</f>
        <v>0.38760000000000006</v>
      </c>
      <c r="K11" s="7">
        <f>$N$6*(Tabela2[[#This Row],[Distância]]*2)/$K$2*Tabela2[[#This Row],[Corrente]]</f>
        <v>0.24225000000000002</v>
      </c>
      <c r="L11" s="7">
        <f>$N$6*(Tabela2[[#This Row],[Distância]]*2)/$L$2*Tabela2[[#This Row],[Corrente]]</f>
        <v>0.1615</v>
      </c>
      <c r="P11">
        <f>3.23/1000</f>
        <v>3.2299999999999998E-3</v>
      </c>
    </row>
    <row r="12" spans="2:18" x14ac:dyDescent="0.25">
      <c r="B12" s="2">
        <v>8</v>
      </c>
      <c r="C12" s="2">
        <f>2.6*8.5</f>
        <v>22.1</v>
      </c>
      <c r="D12" s="2">
        <v>24</v>
      </c>
      <c r="E12" s="2">
        <v>9</v>
      </c>
      <c r="F12" s="3">
        <f t="shared" si="0"/>
        <v>0.92083333333333339</v>
      </c>
      <c r="G12" s="3">
        <f>$E$1/Tabela2[[#This Row],[Corrente]]</f>
        <v>1.0859728506787329</v>
      </c>
      <c r="H12" s="3">
        <v>2.5</v>
      </c>
      <c r="I12" s="8">
        <f>$N$6*(Tabela2[[#This Row],[Distância]]*2)/$I$2*Tabela2[[#This Row],[Corrente]]</f>
        <v>0.18785000000000004</v>
      </c>
      <c r="J12" s="7">
        <f>$N$6*(Tabela2[[#This Row],[Distância]]*2)/$J$2*Tabela2[[#This Row],[Corrente]]</f>
        <v>0.11271000000000003</v>
      </c>
      <c r="K12" s="7">
        <f>$N$6*(Tabela2[[#This Row],[Distância]]*2)/$K$2*Tabela2[[#This Row],[Corrente]]</f>
        <v>7.0443750000000013E-2</v>
      </c>
      <c r="L12" s="7">
        <f>$N$6*(Tabela2[[#This Row],[Distância]]*2)/$L$2*Tabela2[[#This Row],[Corrente]]</f>
        <v>4.6962500000000011E-2</v>
      </c>
    </row>
    <row r="13" spans="2:18" x14ac:dyDescent="0.25">
      <c r="B13" s="2">
        <v>9</v>
      </c>
      <c r="C13" s="2">
        <f>3*14</f>
        <v>42</v>
      </c>
      <c r="D13" s="2">
        <v>24</v>
      </c>
      <c r="E13" s="2">
        <v>9</v>
      </c>
      <c r="F13" s="3">
        <f t="shared" si="0"/>
        <v>1.75</v>
      </c>
      <c r="G13" s="3">
        <f>$E$1/Tabela2[[#This Row],[Corrente]]</f>
        <v>0.5714285714285714</v>
      </c>
      <c r="H13" s="3">
        <v>2.5</v>
      </c>
      <c r="I13" s="8">
        <f>$N$6*(Tabela2[[#This Row],[Distância]]*2)/$I$2*Tabela2[[#This Row],[Corrente]]</f>
        <v>0.3570000000000001</v>
      </c>
      <c r="J13" s="7">
        <f>$N$6*(Tabela2[[#This Row],[Distância]]*2)/$J$2*Tabela2[[#This Row],[Corrente]]</f>
        <v>0.21420000000000003</v>
      </c>
      <c r="K13" s="7">
        <f>$N$6*(Tabela2[[#This Row],[Distância]]*2)/$K$2*Tabela2[[#This Row],[Corrente]]</f>
        <v>0.13387500000000002</v>
      </c>
      <c r="L13" s="7">
        <f>$N$6*(Tabela2[[#This Row],[Distância]]*2)/$L$2*Tabela2[[#This Row],[Corrente]]</f>
        <v>8.9250000000000024E-2</v>
      </c>
    </row>
    <row r="14" spans="2:18" x14ac:dyDescent="0.25">
      <c r="B14" s="4">
        <v>10</v>
      </c>
      <c r="C14" s="4">
        <f>9.7*19</f>
        <v>184.29999999999998</v>
      </c>
      <c r="D14" s="4">
        <v>24</v>
      </c>
      <c r="E14" s="4">
        <v>14</v>
      </c>
      <c r="F14" s="5">
        <f t="shared" si="0"/>
        <v>7.6791666666666663</v>
      </c>
      <c r="G14" s="5">
        <f>$E$1/Tabela2[[#This Row],[Corrente]]</f>
        <v>0.13022246337493218</v>
      </c>
      <c r="H14" s="5">
        <v>4</v>
      </c>
      <c r="I14" s="7">
        <f>$N$6*(Tabela2[[#This Row],[Distância]]*2)/$I$2*Tabela2[[#This Row],[Corrente]]</f>
        <v>2.4368555555555558</v>
      </c>
      <c r="J14" s="7">
        <f>$N$6*(Tabela2[[#This Row],[Distância]]*2)/$J$2*Tabela2[[#This Row],[Corrente]]</f>
        <v>1.4621133333333334</v>
      </c>
      <c r="K14" s="8">
        <f>$N$6*(Tabela2[[#This Row],[Distância]]*2)/$K$2*Tabela2[[#This Row],[Corrente]]</f>
        <v>0.9138208333333333</v>
      </c>
      <c r="L14" s="7">
        <f>$N$6*(Tabela2[[#This Row],[Distância]]*2)/$L$2*Tabela2[[#This Row],[Corrente]]</f>
        <v>0.60921388888888894</v>
      </c>
    </row>
    <row r="15" spans="2:18" x14ac:dyDescent="0.25">
      <c r="B15" s="2">
        <v>10</v>
      </c>
      <c r="C15" s="2">
        <f>2*3*8.5</f>
        <v>51</v>
      </c>
      <c r="D15" s="2">
        <v>24</v>
      </c>
      <c r="E15" s="2">
        <v>14</v>
      </c>
      <c r="F15" s="3">
        <f t="shared" si="0"/>
        <v>2.125</v>
      </c>
      <c r="G15" s="3">
        <f>$E$1/Tabela2[[#This Row],[Corrente]]</f>
        <v>0.47058823529411764</v>
      </c>
      <c r="H15" s="3">
        <v>2.5</v>
      </c>
      <c r="I15" s="8">
        <f>$N$6*(Tabela2[[#This Row],[Distância]]*2)/$I$2*Tabela2[[#This Row],[Corrente]]</f>
        <v>0.67433333333333334</v>
      </c>
      <c r="J15" s="7">
        <f>$N$6*(Tabela2[[#This Row],[Distância]]*2)/$J$2*Tabela2[[#This Row],[Corrente]]</f>
        <v>0.40460000000000002</v>
      </c>
      <c r="K15" s="7">
        <f>$N$6*(Tabela2[[#This Row],[Distância]]*2)/$K$2*Tabela2[[#This Row],[Corrente]]</f>
        <v>0.25287500000000002</v>
      </c>
      <c r="L15" s="7">
        <f>$N$6*(Tabela2[[#This Row],[Distância]]*2)/$L$2*Tabela2[[#This Row],[Corrente]]</f>
        <v>0.16858333333333334</v>
      </c>
    </row>
    <row r="16" spans="2:18" x14ac:dyDescent="0.25">
      <c r="B16" s="2">
        <v>23</v>
      </c>
      <c r="C16" s="2">
        <v>368</v>
      </c>
      <c r="D16" s="2">
        <v>24</v>
      </c>
      <c r="E16" s="2">
        <v>4.5</v>
      </c>
      <c r="F16" s="3">
        <f t="shared" si="0"/>
        <v>15.333333333333334</v>
      </c>
      <c r="G16" s="3">
        <f>$E$1/Tabela2[[#This Row],[Corrente]]</f>
        <v>6.5217391304347824E-2</v>
      </c>
      <c r="H16" s="3">
        <v>2.5</v>
      </c>
      <c r="I16" s="7">
        <f>$N$6*(Tabela2[[#This Row],[Distância]]*2)/$I$2*Tabela2[[#This Row],[Corrente]]</f>
        <v>1.5640000000000003</v>
      </c>
      <c r="J16" s="7">
        <f>$N$6*(Tabela2[[#This Row],[Distância]]*2)/$J$2*Tabela2[[#This Row],[Corrente]]</f>
        <v>0.93840000000000023</v>
      </c>
      <c r="K16" s="8">
        <f>$N$6*(Tabela2[[#This Row],[Distância]]*2)/$K$2*Tabela2[[#This Row],[Corrente]]</f>
        <v>0.58650000000000013</v>
      </c>
      <c r="L16" s="7">
        <f>$N$6*(Tabela2[[#This Row],[Distância]]*2)/$L$2*Tabela2[[#This Row],[Corrente]]</f>
        <v>0.39100000000000007</v>
      </c>
    </row>
    <row r="17" spans="2:12" x14ac:dyDescent="0.25">
      <c r="B17" s="2">
        <v>30</v>
      </c>
      <c r="C17" s="2">
        <f>1.6*8.5</f>
        <v>13.600000000000001</v>
      </c>
      <c r="D17" s="2">
        <v>24</v>
      </c>
      <c r="E17" s="2">
        <v>7</v>
      </c>
      <c r="F17" s="3">
        <f t="shared" si="0"/>
        <v>0.56666666666666676</v>
      </c>
      <c r="G17" s="3">
        <f>$E$1/Tabela2[[#This Row],[Corrente]]</f>
        <v>1.7647058823529409</v>
      </c>
      <c r="H17" s="3">
        <v>2.5</v>
      </c>
      <c r="I17" s="8">
        <f>$N$6*(Tabela2[[#This Row],[Distância]]*2)/$I$2*Tabela2[[#This Row],[Corrente]]</f>
        <v>8.9911111111111136E-2</v>
      </c>
      <c r="J17" s="7">
        <f>$N$6*(Tabela2[[#This Row],[Distância]]*2)/$J$2*Tabela2[[#This Row],[Corrente]]</f>
        <v>5.3946666666666677E-2</v>
      </c>
      <c r="K17" s="7">
        <f>$N$6*(Tabela2[[#This Row],[Distância]]*2)/$K$2*Tabela2[[#This Row],[Corrente]]</f>
        <v>3.3716666666666673E-2</v>
      </c>
      <c r="L17" s="7">
        <f>$N$6*(Tabela2[[#This Row],[Distância]]*2)/$L$2*Tabela2[[#This Row],[Corrente]]</f>
        <v>2.2477777777777784E-2</v>
      </c>
    </row>
    <row r="18" spans="2:12" x14ac:dyDescent="0.25">
      <c r="B18" s="2">
        <v>29</v>
      </c>
      <c r="C18" s="2">
        <f>2.1*14</f>
        <v>29.400000000000002</v>
      </c>
      <c r="D18" s="2">
        <v>24</v>
      </c>
      <c r="E18" s="2">
        <v>7</v>
      </c>
      <c r="F18" s="3">
        <f t="shared" si="0"/>
        <v>1.2250000000000001</v>
      </c>
      <c r="G18" s="3">
        <f>$E$1/Tabela2[[#This Row],[Corrente]]</f>
        <v>0.81632653061224481</v>
      </c>
      <c r="H18" s="3">
        <v>2.5</v>
      </c>
      <c r="I18" s="8">
        <f>$N$6*(Tabela2[[#This Row],[Distância]]*2)/$I$2*Tabela2[[#This Row],[Corrente]]</f>
        <v>0.19436666666666669</v>
      </c>
      <c r="J18" s="7">
        <f>$N$6*(Tabela2[[#This Row],[Distância]]*2)/$J$2*Tabela2[[#This Row],[Corrente]]</f>
        <v>0.11662000000000002</v>
      </c>
      <c r="K18" s="7">
        <f>$N$6*(Tabela2[[#This Row],[Distância]]*2)/$K$2*Tabela2[[#This Row],[Corrente]]</f>
        <v>7.2887500000000008E-2</v>
      </c>
      <c r="L18" s="7">
        <f>$N$6*(Tabela2[[#This Row],[Distância]]*2)/$L$2*Tabela2[[#This Row],[Corrente]]</f>
        <v>4.8591666666666672E-2</v>
      </c>
    </row>
    <row r="19" spans="2:12" x14ac:dyDescent="0.25">
      <c r="B19" s="2">
        <v>33</v>
      </c>
      <c r="C19" s="2">
        <f>4.1*19</f>
        <v>77.899999999999991</v>
      </c>
      <c r="D19" s="2">
        <v>24</v>
      </c>
      <c r="E19" s="2">
        <v>10</v>
      </c>
      <c r="F19" s="3">
        <f t="shared" si="0"/>
        <v>3.2458333333333331</v>
      </c>
      <c r="G19" s="3">
        <f>$E$1/Tabela2[[#This Row],[Corrente]]</f>
        <v>0.3080872913992298</v>
      </c>
      <c r="H19" s="3">
        <v>2.5</v>
      </c>
      <c r="I19" s="8">
        <f>$N$6*(Tabela2[[#This Row],[Distância]]*2)/$I$2*Tabela2[[#This Row],[Corrente]]</f>
        <v>0.73572222222222228</v>
      </c>
      <c r="J19" s="7">
        <f>$N$6*(Tabela2[[#This Row],[Distância]]*2)/$J$2*Tabela2[[#This Row],[Corrente]]</f>
        <v>0.44143333333333334</v>
      </c>
      <c r="K19" s="7">
        <f>$N$6*(Tabela2[[#This Row],[Distância]]*2)/$K$2*Tabela2[[#This Row],[Corrente]]</f>
        <v>0.27589583333333334</v>
      </c>
      <c r="L19" s="7">
        <f>$N$6*(Tabela2[[#This Row],[Distância]]*2)/$L$2*Tabela2[[#This Row],[Corrente]]</f>
        <v>0.18393055555555557</v>
      </c>
    </row>
    <row r="20" spans="2:12" x14ac:dyDescent="0.25">
      <c r="B20" s="2">
        <v>34</v>
      </c>
      <c r="C20" s="2">
        <f>5*1.2*8.5</f>
        <v>51</v>
      </c>
      <c r="D20" s="2">
        <v>24</v>
      </c>
      <c r="E20" s="2">
        <v>6</v>
      </c>
      <c r="F20" s="3">
        <f t="shared" si="0"/>
        <v>2.125</v>
      </c>
      <c r="G20" s="3">
        <f>$E$1/Tabela2[[#This Row],[Corrente]]</f>
        <v>0.47058823529411764</v>
      </c>
      <c r="H20" s="3">
        <v>2.5</v>
      </c>
      <c r="I20" s="8">
        <f>$N$6*(Tabela2[[#This Row],[Distância]]*2)/$I$2*Tabela2[[#This Row],[Corrente]]</f>
        <v>0.28900000000000003</v>
      </c>
      <c r="J20" s="7">
        <f>$N$6*(Tabela2[[#This Row],[Distância]]*2)/$J$2*Tabela2[[#This Row],[Corrente]]</f>
        <v>0.1734</v>
      </c>
      <c r="K20" s="7">
        <f>$N$6*(Tabela2[[#This Row],[Distância]]*2)/$K$2*Tabela2[[#This Row],[Corrente]]</f>
        <v>0.10837500000000001</v>
      </c>
      <c r="L20" s="7">
        <f>$N$6*(Tabela2[[#This Row],[Distância]]*2)/$L$2*Tabela2[[#This Row],[Corrente]]</f>
        <v>7.2250000000000009E-2</v>
      </c>
    </row>
    <row r="21" spans="2:12" x14ac:dyDescent="0.25">
      <c r="B21" s="2">
        <v>34</v>
      </c>
      <c r="C21" s="2">
        <f>2*1.6*8.5</f>
        <v>27.200000000000003</v>
      </c>
      <c r="D21" s="2">
        <v>24</v>
      </c>
      <c r="E21" s="2">
        <v>6</v>
      </c>
      <c r="F21" s="3">
        <f t="shared" si="0"/>
        <v>1.1333333333333335</v>
      </c>
      <c r="G21" s="3">
        <f>$E$1/Tabela2[[#This Row],[Corrente]]</f>
        <v>0.88235294117647045</v>
      </c>
      <c r="H21" s="3">
        <v>2.5</v>
      </c>
      <c r="I21" s="8">
        <f>$N$6*(Tabela2[[#This Row],[Distância]]*2)/$I$2*Tabela2[[#This Row],[Corrente]]</f>
        <v>0.15413333333333337</v>
      </c>
      <c r="J21" s="7">
        <f>$N$6*(Tabela2[[#This Row],[Distância]]*2)/$J$2*Tabela2[[#This Row],[Corrente]]</f>
        <v>9.2480000000000021E-2</v>
      </c>
      <c r="K21" s="7">
        <f>$N$6*(Tabela2[[#This Row],[Distância]]*2)/$K$2*Tabela2[[#This Row],[Corrente]]</f>
        <v>5.7800000000000011E-2</v>
      </c>
      <c r="L21" s="7">
        <f>$N$6*(Tabela2[[#This Row],[Distância]]*2)/$L$2*Tabela2[[#This Row],[Corrente]]</f>
        <v>3.8533333333333343E-2</v>
      </c>
    </row>
    <row r="22" spans="2:12" x14ac:dyDescent="0.25">
      <c r="B22" s="2">
        <v>38</v>
      </c>
      <c r="C22" s="2">
        <f>1.6*8.5</f>
        <v>13.600000000000001</v>
      </c>
      <c r="D22" s="2">
        <v>24</v>
      </c>
      <c r="E22" s="2">
        <v>9</v>
      </c>
      <c r="F22" s="3">
        <f t="shared" si="0"/>
        <v>0.56666666666666676</v>
      </c>
      <c r="G22" s="3">
        <f>$E$1/Tabela2[[#This Row],[Corrente]]</f>
        <v>1.7647058823529409</v>
      </c>
      <c r="H22" s="3">
        <v>2.5</v>
      </c>
      <c r="I22" s="8">
        <f>$N$6*(Tabela2[[#This Row],[Distância]]*2)/$I$2*Tabela2[[#This Row],[Corrente]]</f>
        <v>0.11560000000000005</v>
      </c>
      <c r="J22" s="7">
        <f>$N$6*(Tabela2[[#This Row],[Distância]]*2)/$J$2*Tabela2[[#This Row],[Corrente]]</f>
        <v>6.9360000000000019E-2</v>
      </c>
      <c r="K22" s="7">
        <f>$N$6*(Tabela2[[#This Row],[Distância]]*2)/$K$2*Tabela2[[#This Row],[Corrente]]</f>
        <v>4.3350000000000014E-2</v>
      </c>
      <c r="L22" s="7">
        <f>$N$6*(Tabela2[[#This Row],[Distância]]*2)/$L$2*Tabela2[[#This Row],[Corrente]]</f>
        <v>2.8900000000000012E-2</v>
      </c>
    </row>
    <row r="23" spans="2:12" x14ac:dyDescent="0.25">
      <c r="B23" s="2">
        <v>37</v>
      </c>
      <c r="C23" s="2">
        <f>2*1.8*8.5</f>
        <v>30.6</v>
      </c>
      <c r="D23" s="2">
        <v>24</v>
      </c>
      <c r="E23" s="2">
        <v>9</v>
      </c>
      <c r="F23" s="3">
        <f t="shared" si="0"/>
        <v>1.2750000000000001</v>
      </c>
      <c r="G23" s="3">
        <f>$E$1/Tabela2[[#This Row],[Corrente]]</f>
        <v>0.78431372549019596</v>
      </c>
      <c r="H23" s="3">
        <v>2.5</v>
      </c>
      <c r="I23" s="8">
        <f>$N$6*(Tabela2[[#This Row],[Distância]]*2)/$I$2*Tabela2[[#This Row],[Corrente]]</f>
        <v>0.26010000000000011</v>
      </c>
      <c r="J23" s="7">
        <f>$N$6*(Tabela2[[#This Row],[Distância]]*2)/$J$2*Tabela2[[#This Row],[Corrente]]</f>
        <v>0.15606000000000003</v>
      </c>
      <c r="K23" s="7">
        <f>$N$6*(Tabela2[[#This Row],[Distância]]*2)/$K$2*Tabela2[[#This Row],[Corrente]]</f>
        <v>9.7537500000000027E-2</v>
      </c>
      <c r="L23" s="7">
        <f>$N$6*(Tabela2[[#This Row],[Distância]]*2)/$L$2*Tabela2[[#This Row],[Corrente]]</f>
        <v>6.5025000000000027E-2</v>
      </c>
    </row>
    <row r="24" spans="2:12" x14ac:dyDescent="0.25">
      <c r="B24" s="2">
        <v>46</v>
      </c>
      <c r="C24" s="2">
        <f>8*19</f>
        <v>152</v>
      </c>
      <c r="D24" s="2">
        <v>24</v>
      </c>
      <c r="E24" s="2">
        <v>10</v>
      </c>
      <c r="F24" s="3">
        <f t="shared" si="0"/>
        <v>6.333333333333333</v>
      </c>
      <c r="G24" s="3">
        <f>$E$1/Tabela2[[#This Row],[Corrente]]</f>
        <v>0.15789473684210528</v>
      </c>
      <c r="H24" s="3">
        <v>2.5</v>
      </c>
      <c r="I24" s="7">
        <f>$N$6*(Tabela2[[#This Row],[Distância]]*2)/$I$2*Tabela2[[#This Row],[Corrente]]</f>
        <v>1.4355555555555557</v>
      </c>
      <c r="J24" s="7">
        <f>$N$6*(Tabela2[[#This Row],[Distância]]*2)/$J$2*Tabela2[[#This Row],[Corrente]]</f>
        <v>0.8613333333333334</v>
      </c>
      <c r="K24" s="8">
        <f>$N$6*(Tabela2[[#This Row],[Distância]]*2)/$K$2*Tabela2[[#This Row],[Corrente]]</f>
        <v>0.53833333333333333</v>
      </c>
      <c r="L24" s="7">
        <f>$N$6*(Tabela2[[#This Row],[Distância]]*2)/$L$2*Tabela2[[#This Row],[Corrente]]</f>
        <v>0.35888888888888892</v>
      </c>
    </row>
    <row r="25" spans="2:12" x14ac:dyDescent="0.25">
      <c r="B25" s="2">
        <v>45</v>
      </c>
      <c r="C25" s="2">
        <f>7*8.5</f>
        <v>59.5</v>
      </c>
      <c r="D25" s="2">
        <v>24</v>
      </c>
      <c r="E25" s="2">
        <v>6</v>
      </c>
      <c r="F25" s="3">
        <f t="shared" si="0"/>
        <v>2.4791666666666665</v>
      </c>
      <c r="G25" s="3">
        <f>$E$1/Tabela2[[#This Row],[Corrente]]</f>
        <v>0.40336134453781514</v>
      </c>
      <c r="H25" s="3">
        <v>2.5</v>
      </c>
      <c r="I25" s="8">
        <f>$N$6*(Tabela2[[#This Row],[Distância]]*2)/$I$2*Tabela2[[#This Row],[Corrente]]</f>
        <v>0.33716666666666667</v>
      </c>
      <c r="J25" s="7">
        <f>$N$6*(Tabela2[[#This Row],[Distância]]*2)/$J$2*Tabela2[[#This Row],[Corrente]]</f>
        <v>0.20230000000000001</v>
      </c>
      <c r="K25" s="7">
        <f>$N$6*(Tabela2[[#This Row],[Distância]]*2)/$K$2*Tabela2[[#This Row],[Corrente]]</f>
        <v>0.12643750000000001</v>
      </c>
      <c r="L25" s="7">
        <f>$N$6*(Tabela2[[#This Row],[Distância]]*2)/$L$2*Tabela2[[#This Row],[Corrente]]</f>
        <v>8.4291666666666668E-2</v>
      </c>
    </row>
    <row r="26" spans="2:12" x14ac:dyDescent="0.25">
      <c r="B26" s="4">
        <v>50</v>
      </c>
      <c r="C26" s="4">
        <v>280</v>
      </c>
      <c r="D26" s="4">
        <v>24</v>
      </c>
      <c r="E26" s="4">
        <v>9</v>
      </c>
      <c r="F26" s="5">
        <f t="shared" si="0"/>
        <v>11.666666666666666</v>
      </c>
      <c r="G26" s="5">
        <f>$E$1/Tabela2[[#This Row],[Corrente]]</f>
        <v>8.5714285714285715E-2</v>
      </c>
      <c r="H26" s="5">
        <v>4</v>
      </c>
      <c r="I26" s="7">
        <f>$N$6*(Tabela2[[#This Row],[Distância]]*2)/$I$2*Tabela2[[#This Row],[Corrente]]</f>
        <v>2.3800000000000003</v>
      </c>
      <c r="J26" s="7">
        <f>$N$6*(Tabela2[[#This Row],[Distância]]*2)/$J$2*Tabela2[[#This Row],[Corrente]]</f>
        <v>1.4280000000000002</v>
      </c>
      <c r="K26" s="8">
        <f>$N$6*(Tabela2[[#This Row],[Distância]]*2)/$K$2*Tabela2[[#This Row],[Corrente]]</f>
        <v>0.89250000000000007</v>
      </c>
      <c r="L26" s="7">
        <f>$N$6*(Tabela2[[#This Row],[Distância]]*2)/$L$2*Tabela2[[#This Row],[Corrente]]</f>
        <v>0.59500000000000008</v>
      </c>
    </row>
    <row r="27" spans="2:12" x14ac:dyDescent="0.25">
      <c r="B27" s="2">
        <v>50</v>
      </c>
      <c r="C27" s="2">
        <v>120</v>
      </c>
      <c r="D27" s="2">
        <v>24</v>
      </c>
      <c r="E27" s="2">
        <v>9</v>
      </c>
      <c r="F27" s="3">
        <f t="shared" si="0"/>
        <v>5</v>
      </c>
      <c r="G27" s="3">
        <f>$E$1/Tabela2[[#This Row],[Corrente]]</f>
        <v>0.2</v>
      </c>
      <c r="H27" s="3">
        <v>2.5</v>
      </c>
      <c r="I27" s="7">
        <f>$N$6*(Tabela2[[#This Row],[Distância]]*2)/$I$2*Tabela2[[#This Row],[Corrente]]</f>
        <v>1.0200000000000002</v>
      </c>
      <c r="J27" s="8">
        <f>$N$6*(Tabela2[[#This Row],[Distância]]*2)/$J$2*Tabela2[[#This Row],[Corrente]]</f>
        <v>0.6120000000000001</v>
      </c>
      <c r="K27" s="7">
        <f>$N$6*(Tabela2[[#This Row],[Distância]]*2)/$K$2*Tabela2[[#This Row],[Corrente]]</f>
        <v>0.38250000000000006</v>
      </c>
      <c r="L27" s="7">
        <f>$N$6*(Tabela2[[#This Row],[Distância]]*2)/$L$2*Tabela2[[#This Row],[Corrente]]</f>
        <v>0.25500000000000006</v>
      </c>
    </row>
    <row r="28" spans="2:12" x14ac:dyDescent="0.25">
      <c r="B28" s="4">
        <v>39</v>
      </c>
      <c r="C28" s="4">
        <v>170</v>
      </c>
      <c r="D28" s="4">
        <v>24</v>
      </c>
      <c r="E28" s="4">
        <v>12</v>
      </c>
      <c r="F28" s="5">
        <f t="shared" si="0"/>
        <v>7.083333333333333</v>
      </c>
      <c r="G28" s="5">
        <f>$E$1/Tabela2[[#This Row],[Corrente]]</f>
        <v>0.14117647058823529</v>
      </c>
      <c r="H28" s="5">
        <v>4</v>
      </c>
      <c r="I28" s="7">
        <f>$N$6*(Tabela2[[#This Row],[Distância]]*2)/$I$2*Tabela2[[#This Row],[Corrente]]</f>
        <v>1.9266666666666667</v>
      </c>
      <c r="J28" s="7">
        <f>$N$6*(Tabela2[[#This Row],[Distância]]*2)/$J$2*Tabela2[[#This Row],[Corrente]]</f>
        <v>1.1560000000000001</v>
      </c>
      <c r="K28" s="8">
        <f>$N$6*(Tabela2[[#This Row],[Distância]]*2)/$K$2*Tabela2[[#This Row],[Corrente]]</f>
        <v>0.72250000000000003</v>
      </c>
      <c r="L28" s="7">
        <f>$N$6*(Tabela2[[#This Row],[Distância]]*2)/$L$2*Tabela2[[#This Row],[Corrente]]</f>
        <v>0.48166666666666669</v>
      </c>
    </row>
    <row r="29" spans="2:12" x14ac:dyDescent="0.25">
      <c r="B29" s="2">
        <v>41</v>
      </c>
      <c r="C29" s="2">
        <f>2.8*8.5</f>
        <v>23.799999999999997</v>
      </c>
      <c r="D29" s="2">
        <v>24</v>
      </c>
      <c r="E29" s="2">
        <v>14</v>
      </c>
      <c r="F29" s="3">
        <f t="shared" si="0"/>
        <v>0.99166666666666659</v>
      </c>
      <c r="G29" s="3">
        <f>$E$1/Tabela2[[#This Row],[Corrente]]</f>
        <v>1.008403361344538</v>
      </c>
      <c r="H29" s="3">
        <v>2.5</v>
      </c>
      <c r="I29" s="8">
        <f>$N$6*(Tabela2[[#This Row],[Distância]]*2)/$I$2*Tabela2[[#This Row],[Corrente]]</f>
        <v>0.31468888888888891</v>
      </c>
      <c r="J29" s="7">
        <f>$N$6*(Tabela2[[#This Row],[Distância]]*2)/$J$2*Tabela2[[#This Row],[Corrente]]</f>
        <v>0.18881333333333333</v>
      </c>
      <c r="K29" s="7">
        <f>$N$6*(Tabela2[[#This Row],[Distância]]*2)/$K$2*Tabela2[[#This Row],[Corrente]]</f>
        <v>0.11800833333333333</v>
      </c>
      <c r="L29" s="7">
        <f>$N$6*(Tabela2[[#This Row],[Distância]]*2)/$L$2*Tabela2[[#This Row],[Corrente]]</f>
        <v>7.8672222222222227E-2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6884A-D90D-4F54-A951-C54EB037CB07}">
  <dimension ref="A1:E37"/>
  <sheetViews>
    <sheetView workbookViewId="0">
      <selection activeCell="E12" sqref="E12"/>
    </sheetView>
  </sheetViews>
  <sheetFormatPr defaultRowHeight="15" x14ac:dyDescent="0.25"/>
  <cols>
    <col min="3" max="3" width="10.7109375" bestFit="1" customWidth="1"/>
    <col min="5" max="5" width="10.7109375" bestFit="1" customWidth="1"/>
  </cols>
  <sheetData>
    <row r="1" spans="1:5" x14ac:dyDescent="0.25">
      <c r="A1">
        <v>6622</v>
      </c>
      <c r="B1">
        <v>1</v>
      </c>
      <c r="C1">
        <v>30</v>
      </c>
      <c r="D1" t="s">
        <v>17</v>
      </c>
      <c r="E1">
        <f>C1*B1</f>
        <v>30</v>
      </c>
    </row>
    <row r="2" spans="1:5" x14ac:dyDescent="0.25">
      <c r="A2">
        <v>6624</v>
      </c>
      <c r="B2">
        <v>1</v>
      </c>
      <c r="C2">
        <v>80</v>
      </c>
      <c r="D2" t="s">
        <v>17</v>
      </c>
      <c r="E2">
        <f t="shared" ref="E2:E35" si="0">C2*B2</f>
        <v>80</v>
      </c>
    </row>
    <row r="3" spans="1:5" x14ac:dyDescent="0.25">
      <c r="A3">
        <v>6622</v>
      </c>
      <c r="B3">
        <v>1</v>
      </c>
      <c r="C3">
        <v>30</v>
      </c>
      <c r="D3" t="s">
        <v>18</v>
      </c>
      <c r="E3">
        <f t="shared" si="0"/>
        <v>30</v>
      </c>
    </row>
    <row r="4" spans="1:5" x14ac:dyDescent="0.25">
      <c r="A4">
        <v>6623</v>
      </c>
      <c r="B4">
        <v>1</v>
      </c>
      <c r="C4">
        <v>60</v>
      </c>
      <c r="D4" t="s">
        <v>18</v>
      </c>
      <c r="E4">
        <f t="shared" si="0"/>
        <v>60</v>
      </c>
    </row>
    <row r="5" spans="1:5" x14ac:dyDescent="0.25">
      <c r="A5">
        <v>6681</v>
      </c>
      <c r="B5">
        <v>2</v>
      </c>
      <c r="C5">
        <v>85</v>
      </c>
      <c r="D5" t="s">
        <v>19</v>
      </c>
      <c r="E5">
        <f t="shared" si="0"/>
        <v>170</v>
      </c>
    </row>
    <row r="6" spans="1:5" x14ac:dyDescent="0.25">
      <c r="A6">
        <v>6623</v>
      </c>
      <c r="B6">
        <v>1</v>
      </c>
      <c r="C6">
        <v>60</v>
      </c>
      <c r="D6" t="s">
        <v>19</v>
      </c>
      <c r="E6">
        <f t="shared" si="0"/>
        <v>60</v>
      </c>
    </row>
    <row r="7" spans="1:5" x14ac:dyDescent="0.25">
      <c r="A7">
        <v>6622</v>
      </c>
      <c r="B7">
        <v>1</v>
      </c>
      <c r="C7">
        <v>30</v>
      </c>
      <c r="D7" t="s">
        <v>19</v>
      </c>
      <c r="E7">
        <f t="shared" si="0"/>
        <v>30</v>
      </c>
    </row>
    <row r="8" spans="1:5" x14ac:dyDescent="0.25">
      <c r="A8">
        <v>6692</v>
      </c>
      <c r="B8">
        <v>2</v>
      </c>
      <c r="C8">
        <v>299.05</v>
      </c>
      <c r="D8" t="s">
        <v>20</v>
      </c>
      <c r="E8">
        <f t="shared" si="0"/>
        <v>598.1</v>
      </c>
    </row>
    <row r="9" spans="1:5" x14ac:dyDescent="0.25">
      <c r="A9">
        <v>6623</v>
      </c>
      <c r="B9">
        <v>1</v>
      </c>
      <c r="C9">
        <v>60</v>
      </c>
      <c r="D9" t="s">
        <v>20</v>
      </c>
      <c r="E9">
        <f t="shared" si="0"/>
        <v>60</v>
      </c>
    </row>
    <row r="10" spans="1:5" x14ac:dyDescent="0.25">
      <c r="A10">
        <v>6624</v>
      </c>
      <c r="B10">
        <v>1</v>
      </c>
      <c r="C10">
        <v>80</v>
      </c>
      <c r="D10" t="s">
        <v>21</v>
      </c>
      <c r="E10">
        <f t="shared" si="0"/>
        <v>80</v>
      </c>
    </row>
    <row r="11" spans="1:5" x14ac:dyDescent="0.25">
      <c r="A11">
        <v>6692</v>
      </c>
      <c r="B11">
        <v>2</v>
      </c>
      <c r="C11">
        <v>299.05</v>
      </c>
      <c r="D11" t="s">
        <v>22</v>
      </c>
      <c r="E11">
        <f t="shared" si="0"/>
        <v>598.1</v>
      </c>
    </row>
    <row r="12" spans="1:5" x14ac:dyDescent="0.25">
      <c r="A12">
        <v>6692</v>
      </c>
      <c r="B12">
        <v>2</v>
      </c>
      <c r="C12">
        <v>299.05</v>
      </c>
      <c r="D12" t="s">
        <v>23</v>
      </c>
      <c r="E12">
        <f t="shared" si="0"/>
        <v>598.1</v>
      </c>
    </row>
    <row r="13" spans="1:5" x14ac:dyDescent="0.25">
      <c r="A13">
        <v>6689</v>
      </c>
      <c r="B13">
        <v>2</v>
      </c>
      <c r="C13">
        <v>150</v>
      </c>
      <c r="D13" t="s">
        <v>24</v>
      </c>
      <c r="E13">
        <f t="shared" si="0"/>
        <v>300</v>
      </c>
    </row>
    <row r="14" spans="1:5" x14ac:dyDescent="0.25">
      <c r="A14">
        <v>6623</v>
      </c>
      <c r="B14">
        <v>1</v>
      </c>
      <c r="C14">
        <v>60</v>
      </c>
      <c r="D14" t="s">
        <v>25</v>
      </c>
      <c r="E14">
        <f t="shared" si="0"/>
        <v>60</v>
      </c>
    </row>
    <row r="15" spans="1:5" x14ac:dyDescent="0.25">
      <c r="A15">
        <v>6689</v>
      </c>
      <c r="B15">
        <v>2</v>
      </c>
      <c r="C15">
        <v>150</v>
      </c>
      <c r="D15" t="s">
        <v>25</v>
      </c>
      <c r="E15">
        <f t="shared" si="0"/>
        <v>300</v>
      </c>
    </row>
    <row r="16" spans="1:5" x14ac:dyDescent="0.25">
      <c r="A16">
        <v>7002</v>
      </c>
      <c r="B16">
        <v>5</v>
      </c>
      <c r="C16">
        <v>105</v>
      </c>
      <c r="D16" t="s">
        <v>26</v>
      </c>
      <c r="E16">
        <f t="shared" si="0"/>
        <v>525</v>
      </c>
    </row>
    <row r="17" spans="1:5" x14ac:dyDescent="0.25">
      <c r="A17">
        <v>7002</v>
      </c>
      <c r="B17">
        <v>1</v>
      </c>
      <c r="C17">
        <v>105</v>
      </c>
      <c r="D17" t="s">
        <v>27</v>
      </c>
      <c r="E17">
        <f t="shared" si="0"/>
        <v>105</v>
      </c>
    </row>
    <row r="18" spans="1:5" x14ac:dyDescent="0.25">
      <c r="A18">
        <v>1022</v>
      </c>
      <c r="B18">
        <v>1</v>
      </c>
      <c r="C18">
        <v>75</v>
      </c>
      <c r="D18" t="s">
        <v>27</v>
      </c>
      <c r="E18">
        <f t="shared" si="0"/>
        <v>75</v>
      </c>
    </row>
    <row r="19" spans="1:5" x14ac:dyDescent="0.25">
      <c r="A19">
        <v>6681</v>
      </c>
      <c r="B19">
        <v>1</v>
      </c>
      <c r="C19">
        <v>85</v>
      </c>
      <c r="D19" t="s">
        <v>28</v>
      </c>
      <c r="E19">
        <f t="shared" si="0"/>
        <v>85</v>
      </c>
    </row>
    <row r="20" spans="1:5" x14ac:dyDescent="0.25">
      <c r="A20">
        <v>6623</v>
      </c>
      <c r="B20">
        <v>1</v>
      </c>
      <c r="C20">
        <v>60</v>
      </c>
      <c r="D20" t="s">
        <v>28</v>
      </c>
      <c r="E20">
        <f t="shared" si="0"/>
        <v>60</v>
      </c>
    </row>
    <row r="21" spans="1:5" x14ac:dyDescent="0.25">
      <c r="A21">
        <v>6689</v>
      </c>
      <c r="B21">
        <v>1</v>
      </c>
      <c r="C21">
        <v>150</v>
      </c>
      <c r="D21" t="s">
        <v>29</v>
      </c>
      <c r="E21">
        <f t="shared" si="0"/>
        <v>150</v>
      </c>
    </row>
    <row r="22" spans="1:5" x14ac:dyDescent="0.25">
      <c r="A22">
        <v>6622</v>
      </c>
      <c r="B22">
        <v>1</v>
      </c>
      <c r="C22">
        <v>30</v>
      </c>
      <c r="D22" t="s">
        <v>29</v>
      </c>
      <c r="E22">
        <f t="shared" si="0"/>
        <v>30</v>
      </c>
    </row>
    <row r="23" spans="1:5" x14ac:dyDescent="0.25">
      <c r="A23">
        <v>6689</v>
      </c>
      <c r="B23">
        <v>2</v>
      </c>
      <c r="C23">
        <v>150</v>
      </c>
      <c r="D23" t="s">
        <v>30</v>
      </c>
      <c r="E23">
        <f t="shared" si="0"/>
        <v>300</v>
      </c>
    </row>
    <row r="24" spans="1:5" x14ac:dyDescent="0.25">
      <c r="A24">
        <v>1021</v>
      </c>
      <c r="B24">
        <v>1</v>
      </c>
      <c r="C24">
        <v>70</v>
      </c>
      <c r="D24" t="s">
        <v>30</v>
      </c>
      <c r="E24">
        <f t="shared" si="0"/>
        <v>70</v>
      </c>
    </row>
    <row r="25" spans="1:5" x14ac:dyDescent="0.25">
      <c r="A25">
        <v>6689</v>
      </c>
      <c r="B25">
        <v>1</v>
      </c>
      <c r="C25">
        <v>150</v>
      </c>
      <c r="D25" t="s">
        <v>31</v>
      </c>
      <c r="E25">
        <f t="shared" si="0"/>
        <v>150</v>
      </c>
    </row>
    <row r="26" spans="1:5" x14ac:dyDescent="0.25">
      <c r="A26">
        <v>6681</v>
      </c>
      <c r="B26">
        <v>1</v>
      </c>
      <c r="C26">
        <v>85</v>
      </c>
      <c r="D26" t="s">
        <v>31</v>
      </c>
      <c r="E26">
        <f t="shared" si="0"/>
        <v>85</v>
      </c>
    </row>
    <row r="27" spans="1:5" x14ac:dyDescent="0.25">
      <c r="A27">
        <v>6623</v>
      </c>
      <c r="B27">
        <v>1</v>
      </c>
      <c r="C27">
        <v>60</v>
      </c>
      <c r="D27" t="s">
        <v>31</v>
      </c>
      <c r="E27">
        <f t="shared" si="0"/>
        <v>60</v>
      </c>
    </row>
    <row r="28" spans="1:5" x14ac:dyDescent="0.25">
      <c r="A28">
        <v>7002</v>
      </c>
      <c r="B28">
        <v>2</v>
      </c>
      <c r="C28">
        <v>105</v>
      </c>
      <c r="D28" t="s">
        <v>32</v>
      </c>
      <c r="E28">
        <f t="shared" si="0"/>
        <v>210</v>
      </c>
    </row>
    <row r="29" spans="1:5" x14ac:dyDescent="0.25">
      <c r="A29">
        <v>7010</v>
      </c>
      <c r="B29">
        <v>1</v>
      </c>
      <c r="C29">
        <v>150</v>
      </c>
      <c r="D29" t="s">
        <v>32</v>
      </c>
      <c r="E29">
        <f t="shared" si="0"/>
        <v>150</v>
      </c>
    </row>
    <row r="30" spans="1:5" x14ac:dyDescent="0.25">
      <c r="A30">
        <v>7010</v>
      </c>
      <c r="B30">
        <v>1</v>
      </c>
      <c r="C30">
        <v>150</v>
      </c>
      <c r="D30" t="s">
        <v>32</v>
      </c>
      <c r="E30">
        <f t="shared" si="0"/>
        <v>150</v>
      </c>
    </row>
    <row r="31" spans="1:5" x14ac:dyDescent="0.25">
      <c r="A31">
        <v>6692</v>
      </c>
      <c r="B31">
        <v>1</v>
      </c>
      <c r="C31">
        <v>299</v>
      </c>
      <c r="D31" t="s">
        <v>32</v>
      </c>
      <c r="E31">
        <f t="shared" si="0"/>
        <v>299</v>
      </c>
    </row>
    <row r="32" spans="1:5" x14ac:dyDescent="0.25">
      <c r="A32">
        <v>6681</v>
      </c>
      <c r="B32">
        <v>1</v>
      </c>
      <c r="C32">
        <v>85</v>
      </c>
      <c r="D32" t="s">
        <v>32</v>
      </c>
      <c r="E32">
        <f t="shared" si="0"/>
        <v>85</v>
      </c>
    </row>
    <row r="33" spans="1:5" x14ac:dyDescent="0.25">
      <c r="A33">
        <v>6623</v>
      </c>
      <c r="B33">
        <v>1</v>
      </c>
      <c r="C33">
        <v>60</v>
      </c>
      <c r="D33" t="s">
        <v>33</v>
      </c>
      <c r="E33">
        <f t="shared" si="0"/>
        <v>60</v>
      </c>
    </row>
    <row r="34" spans="1:5" x14ac:dyDescent="0.25">
      <c r="A34">
        <v>1022</v>
      </c>
      <c r="B34">
        <v>1</v>
      </c>
      <c r="C34">
        <v>75</v>
      </c>
      <c r="D34" t="s">
        <v>33</v>
      </c>
      <c r="E34">
        <f t="shared" si="0"/>
        <v>75</v>
      </c>
    </row>
    <row r="35" spans="1:5" x14ac:dyDescent="0.25">
      <c r="A35">
        <v>7002</v>
      </c>
      <c r="B35">
        <v>1</v>
      </c>
      <c r="C35">
        <v>105</v>
      </c>
      <c r="D35" t="s">
        <v>33</v>
      </c>
      <c r="E35">
        <f t="shared" si="0"/>
        <v>105</v>
      </c>
    </row>
    <row r="37" spans="1:5" x14ac:dyDescent="0.25">
      <c r="C37" s="6">
        <f>SUMPRODUCT(B1:B35,C1:C35)</f>
        <v>5883.2999999999993</v>
      </c>
      <c r="E37" s="6">
        <f>SUM(E1:E35)</f>
        <v>5883.2999999999993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Fontes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Tonietto</dc:creator>
  <cp:lastModifiedBy>Felipe Tonietto</cp:lastModifiedBy>
  <dcterms:created xsi:type="dcterms:W3CDTF">2025-06-29T16:50:59Z</dcterms:created>
  <dcterms:modified xsi:type="dcterms:W3CDTF">2025-07-21T19:51:51Z</dcterms:modified>
</cp:coreProperties>
</file>