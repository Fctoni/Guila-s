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iezzer-PC\Meu Drive\Automacao\Casa do Gui\"/>
    </mc:Choice>
  </mc:AlternateContent>
  <xr:revisionPtr revIDLastSave="0" documentId="13_ncr:1_{28200CCC-67D1-4AD5-A6F0-20B40FABAF6A}" xr6:coauthVersionLast="47" xr6:coauthVersionMax="47" xr10:uidLastSave="{00000000-0000-0000-0000-000000000000}"/>
  <bookViews>
    <workbookView xWindow="-120" yWindow="-120" windowWidth="38640" windowHeight="15720" activeTab="3" xr2:uid="{A8454FDF-8B60-4272-8AA0-F1C566BE5613}"/>
  </bookViews>
  <sheets>
    <sheet name="Mínimo Recomendado" sheetId="1" r:id="rId1"/>
    <sheet name="HIGH END" sheetId="2" r:id="rId2"/>
    <sheet name="O que eu botaria" sheetId="3" r:id="rId3"/>
    <sheet name="Compr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2" l="1"/>
  <c r="H73" i="3"/>
  <c r="J39" i="1"/>
  <c r="J40" i="1"/>
  <c r="J41" i="1"/>
  <c r="J32" i="1"/>
  <c r="J33" i="1"/>
  <c r="J22" i="1"/>
  <c r="J23" i="1"/>
  <c r="J24" i="1"/>
  <c r="J13" i="1"/>
  <c r="J11" i="1"/>
  <c r="G14" i="3"/>
  <c r="G15" i="3"/>
  <c r="G13" i="3"/>
  <c r="G11" i="3"/>
  <c r="G74" i="3"/>
  <c r="H69" i="3"/>
  <c r="G65" i="3"/>
  <c r="G69" i="3" s="1"/>
  <c r="H60" i="3"/>
  <c r="G56" i="3"/>
  <c r="G60" i="3" s="1"/>
  <c r="H51" i="3"/>
  <c r="G47" i="3"/>
  <c r="G51" i="3" s="1"/>
  <c r="H42" i="3"/>
  <c r="G38" i="3"/>
  <c r="G42" i="3" s="1"/>
  <c r="H34" i="3"/>
  <c r="G31" i="3"/>
  <c r="G30" i="3"/>
  <c r="G34" i="3" s="1"/>
  <c r="H26" i="3"/>
  <c r="G25" i="3"/>
  <c r="G24" i="3"/>
  <c r="G26" i="3" s="1"/>
  <c r="G23" i="3"/>
  <c r="G22" i="3"/>
  <c r="H17" i="3"/>
  <c r="G16" i="3"/>
  <c r="G12" i="3"/>
  <c r="G17" i="3" s="1"/>
  <c r="H5" i="3"/>
  <c r="F4" i="3"/>
  <c r="G4" i="3" s="1"/>
  <c r="G5" i="3" s="1"/>
  <c r="G74" i="2"/>
  <c r="H69" i="2"/>
  <c r="G65" i="2"/>
  <c r="G69" i="2" s="1"/>
  <c r="H60" i="2"/>
  <c r="G56" i="2"/>
  <c r="G60" i="2" s="1"/>
  <c r="H51" i="2"/>
  <c r="G51" i="2"/>
  <c r="G47" i="2"/>
  <c r="H42" i="2"/>
  <c r="G38" i="2"/>
  <c r="G42" i="2" s="1"/>
  <c r="H34" i="2"/>
  <c r="G34" i="2"/>
  <c r="G31" i="2"/>
  <c r="G30" i="2"/>
  <c r="H26" i="2"/>
  <c r="G25" i="2"/>
  <c r="G24" i="2"/>
  <c r="G23" i="2"/>
  <c r="G22" i="2"/>
  <c r="G26" i="2" s="1"/>
  <c r="H17" i="2"/>
  <c r="G16" i="2"/>
  <c r="G15" i="2"/>
  <c r="G14" i="2"/>
  <c r="G13" i="2"/>
  <c r="G12" i="2"/>
  <c r="G11" i="2"/>
  <c r="G17" i="2" s="1"/>
  <c r="H5" i="2"/>
  <c r="F4" i="2"/>
  <c r="G4" i="2" s="1"/>
  <c r="G5" i="2" s="1"/>
  <c r="G75" i="1"/>
  <c r="H69" i="1"/>
  <c r="G65" i="1"/>
  <c r="G69" i="1" s="1"/>
  <c r="G56" i="1"/>
  <c r="G60" i="1" s="1"/>
  <c r="H60" i="1"/>
  <c r="H51" i="1"/>
  <c r="G47" i="1"/>
  <c r="G51" i="1" s="1"/>
  <c r="H42" i="1"/>
  <c r="G38" i="1"/>
  <c r="G42" i="1" s="1"/>
  <c r="H34" i="1"/>
  <c r="G31" i="1"/>
  <c r="J31" i="1" s="1"/>
  <c r="G30" i="1"/>
  <c r="G34" i="1" s="1"/>
  <c r="H26" i="1"/>
  <c r="G22" i="1"/>
  <c r="G26" i="1" s="1"/>
  <c r="G23" i="1"/>
  <c r="G24" i="1"/>
  <c r="G25" i="1"/>
  <c r="J25" i="1" s="1"/>
  <c r="H17" i="1"/>
  <c r="G11" i="1"/>
  <c r="G12" i="1"/>
  <c r="G13" i="1"/>
  <c r="G16" i="1"/>
  <c r="J16" i="1" s="1"/>
  <c r="G17" i="1"/>
  <c r="H5" i="1"/>
  <c r="I5" i="1"/>
  <c r="F4" i="1"/>
  <c r="J26" i="1" l="1"/>
  <c r="H72" i="3"/>
  <c r="H72" i="2"/>
  <c r="J17" i="1"/>
  <c r="J30" i="1"/>
  <c r="J34" i="1" s="1"/>
  <c r="J38" i="1"/>
  <c r="J42" i="1" s="1"/>
  <c r="H74" i="3"/>
  <c r="H75" i="3" s="1"/>
  <c r="H74" i="2"/>
  <c r="H75" i="2" s="1"/>
  <c r="G72" i="3"/>
  <c r="G72" i="2"/>
  <c r="H72" i="1"/>
  <c r="H73" i="1"/>
  <c r="H75" i="1" s="1"/>
  <c r="H76" i="1" s="1"/>
  <c r="G4" i="1"/>
  <c r="J4" i="1" s="1"/>
  <c r="J5" i="1" s="1"/>
  <c r="G73" i="2" l="1"/>
  <c r="G75" i="2" s="1"/>
  <c r="G73" i="3"/>
  <c r="G75" i="3" s="1"/>
  <c r="G73" i="1"/>
  <c r="G5" i="1"/>
  <c r="G72" i="1" s="1"/>
  <c r="G76" i="1" l="1"/>
</calcChain>
</file>

<file path=xl/sharedStrings.xml><?xml version="1.0" encoding="utf-8"?>
<sst xmlns="http://schemas.openxmlformats.org/spreadsheetml/2006/main" count="430" uniqueCount="88">
  <si>
    <t>Equipamento</t>
  </si>
  <si>
    <t>Item Spazio</t>
  </si>
  <si>
    <t>Equivalente</t>
  </si>
  <si>
    <t>Valor</t>
  </si>
  <si>
    <t>MÍNIMO RECOMENDADO</t>
  </si>
  <si>
    <t>Central</t>
  </si>
  <si>
    <t>Link</t>
  </si>
  <si>
    <t>https://pt.aliexpress.com/item/1005004127565184.html?spm=a2g0o.productlist.main.3.36d7UXx9UXx94v&amp;algo_pvid=b4529a10-4bc3-4f29-ba0f-03bbe4b2bfce&amp;algo_exp_id=b4529a10-4bc3-4f29-ba0f-03bbe4b2bfce-1&amp;pdp_npi=4%40dis%21BRL%21863.09%21604.18%21%21%21136.14%2195.30%21%402103273e17343550874261346e1819%2112000028126371147%21sea%21BR%21133207410%21X&amp;curPageLogUid=kUWxCPMHfkC1&amp;utparam-url=scene%3Asearch%7Cquery_from%3A</t>
  </si>
  <si>
    <t>Mini PC i7</t>
  </si>
  <si>
    <t>Mini PC Celeron</t>
  </si>
  <si>
    <t>Switch 24 portas Hikvision</t>
  </si>
  <si>
    <t>Switch 24 portas hik</t>
  </si>
  <si>
    <t>https://www.mercadolivre.com.br/switch-hikvision-24-portas-ethernet-gigabit-alta-perfomace/p/MLB20812437?pdp_filters=item_id%3AMLB5202756944&amp;from=gshop&amp;matt_tool=83149186&amp;matt_word=&amp;matt_source=google&amp;matt_campaign_id=14303413646&amp;matt_ad_group_id=125984292437&amp;matt_match_type=&amp;matt_network=g&amp;matt_device=c&amp;matt_creative=539354956527&amp;matt_keyword=&amp;matt_ad_position=&amp;matt_ad_type=pla&amp;matt_merchant_id=735098639&amp;matt_product_id=MLB20812437-product&amp;matt_product_partition_id=2270553733438&amp;matt_target_id=aud-1966981570049:pla-2270553733438&amp;cq_src=google_ads&amp;cq_cmp=14303413646&amp;cq_net=g&amp;cq_plt=gp&amp;cq_med=pla&amp;gad_source=1&amp;gclid=Cj0KCQiAvP-6BhDyARIsAJ3uv7aUVWtnxqLpprMeuPIGnQt4D0dx2SQ1iKo0YV8TBL7ZKM0hXWL1b_AaAuaqEALw_wcB</t>
  </si>
  <si>
    <t>USW24 Unifi</t>
  </si>
  <si>
    <t>https://br.store.ui.com/br/pt/category/all-switching/products/usw-24</t>
  </si>
  <si>
    <t>UCG Ultra</t>
  </si>
  <si>
    <t>Mikrotik router</t>
  </si>
  <si>
    <t>https://br.store.ui.com/br/pt/category/all-unifi-cloud-gateways/products/ucg-ultra</t>
  </si>
  <si>
    <t>UDM-PRO</t>
  </si>
  <si>
    <t>https://br.store.ui.com/br/pt/category/all-unifi-cloud-gateways/products/udm-pro</t>
  </si>
  <si>
    <t>Obs:</t>
  </si>
  <si>
    <t>já vem com NVR embutido, economiza ~R$ 1400,00 p/ câmeras</t>
  </si>
  <si>
    <t>U6+</t>
  </si>
  <si>
    <t>U6-Lite</t>
  </si>
  <si>
    <t>https://br.store.ui.com/br/pt/category/all-wifi/products/u6-plus</t>
  </si>
  <si>
    <t>U7-PRO</t>
  </si>
  <si>
    <t>https://br.store.ui.com/br/pt/category/all-wifi/products/u7-pro</t>
  </si>
  <si>
    <t>WIFI7 x WIFI6</t>
  </si>
  <si>
    <t>processador muito melhor, consegue virtualizar outros serviços (câmeras, backup, NAS, servidor de arquivos, etc)</t>
  </si>
  <si>
    <t>Patch panel cat6</t>
  </si>
  <si>
    <t>https://www.mercadolivre.com.br/patch-panel-cat6-24p-linkeo-legrand-632841/p/MLB27121973#polycard_client=search-nordic&amp;wid=MLB3902952127&amp;sid=search&amp;searchVariation=MLB27121973&amp;position=2&amp;search_layout=grid&amp;type=product&amp;tracking_id=30b7fab2-764e-4923-82fa-448b98d62786</t>
  </si>
  <si>
    <t>Organização para o rack, não é 100% necessário</t>
  </si>
  <si>
    <t>Substitui</t>
  </si>
  <si>
    <t>Conector fêmea linkeo</t>
  </si>
  <si>
    <t>https://www.tekdistribuidor.com.br/novos/conector-femea-legrand-cat5e-engrapido?parceiro=4158&amp;gad_source=1&amp;gclid=Cj0KCQiAvP-6BhDyARIsAJ3uv7aothhfz8JaMoRAaO9b6d6kTdeW4svhgbKjTDEK9wGjize1y3CE_J8aApRSEALw_wcB</t>
  </si>
  <si>
    <t>Necessário somente se comprar o patch panel</t>
  </si>
  <si>
    <t>Qt</t>
  </si>
  <si>
    <t>Valor unit</t>
  </si>
  <si>
    <t>Valor total</t>
  </si>
  <si>
    <t>Rack Gabinete 24U</t>
  </si>
  <si>
    <t>https://www.casadoprovedor.com.br/MLB-3732217042-rack-piso-19-24u-x-570mm-preto-24us-novo-_JM?gad_source=1&amp;gclid=Cj0KCQiAvP-6BhDyARIsAJ3uv7aCeYkNnXbyFb-s86olIEfx2QZ4fjhkXVRfnUXrC7lvt9sxjCIZwVUaAlbGEALw_wcB</t>
  </si>
  <si>
    <t>Igual</t>
  </si>
  <si>
    <t>REDE</t>
  </si>
  <si>
    <t>Total</t>
  </si>
  <si>
    <t>Coluna2</t>
  </si>
  <si>
    <t>SERVIDOR CENTRAL</t>
  </si>
  <si>
    <t>QUADRO ELÉTRICO</t>
  </si>
  <si>
    <t>QUADRO 1200 X 800 X 250</t>
  </si>
  <si>
    <t>https://produto.mercadolivre.com.br/MLB-2184050112-caixa-montagem-1200x800x250-painel-eletrico-quadro-comando-_JM?searchVariation=178706348641#polycard_client=search-nordic&amp;searchVariation=178706348641&amp;position=38&amp;search_layout=grid&amp;type=item&amp;tracking_id=63cca09f-c4f9-42c9-af8f-2beb3227f0cb</t>
  </si>
  <si>
    <t>Acessórios para montagem</t>
  </si>
  <si>
    <t>Custo spazio</t>
  </si>
  <si>
    <t>PATCH PANEL</t>
  </si>
  <si>
    <t>CONECTOR FEMEA</t>
  </si>
  <si>
    <t>GATEWAY WEBSERVER</t>
  </si>
  <si>
    <t>FONDE 27V</t>
  </si>
  <si>
    <t>AUTOMAÇÃO ILUMINAÇÃO</t>
  </si>
  <si>
    <t>Custo Spazio</t>
  </si>
  <si>
    <t>ATUADOR DIN 4 RELES</t>
  </si>
  <si>
    <t>COMANDO BUSISCS</t>
  </si>
  <si>
    <t>Interruptor Zemismart</t>
  </si>
  <si>
    <t>https://pt.aliexpress.com/item/1005006034155491.html?spm=a2g0o.productlist.main.7.5c0d4e97qb7Zvw&amp;algo_pvid=227a205a-9506-455d-95d6-b9feec3176c6&amp;aem_p4p_detail=202412160555333614392235510520004078271&amp;algo_exp_id=227a205a-9506-455d-95d6-b9feec3176c6-3&amp;pdp_npi=4%40dis%21BRL%21235.47%21122.44%21%21%21270.16%21140.48%21%402101c5b117343573333041234e0472%2112000035421704002%21sea%21BR%21133207410%21X&amp;curPageLogUid=RlKLBwG9ajdq&amp;utparam-url=scene%3Asearch%7Cquery_from%3A&amp;search_p4p_id=202412160555333614392235510520004078271_1</t>
  </si>
  <si>
    <t>Interruptor TRTON</t>
  </si>
  <si>
    <t>Obs</t>
  </si>
  <si>
    <t>Chute, não foi feito orçamento</t>
  </si>
  <si>
    <t>RM4-MINI</t>
  </si>
  <si>
    <t>AUTOMAÇÃO CORTINAS OU PERSIANAS</t>
  </si>
  <si>
    <t>DUALR3</t>
  </si>
  <si>
    <t>AUTOMAÇÃO DE A.C.</t>
  </si>
  <si>
    <t>CENTRAL 7 PORT GATEWAY</t>
  </si>
  <si>
    <t>https://pt.aliexpress.com/item/1005005943463415.html?spm=a2g0o.productlist.main.1.7e65eecaPbTy1X&amp;algo_pvid=9237ecf8-48f4-44d0-8a52-71c250a88839&amp;algo_exp_id=9237ecf8-48f4-44d0-8a52-71c250a88839-0&amp;pdp_npi=4%40dis%21BRL%2184.37%2184.37%21%21%2113.28%2113.28%21%402103010c17343575470006064e23ab%2112000034960995917%21sea%21BR%21133207410%21X&amp;curPageLogUid=vVIlQerstTSQ&amp;utparam-url=scene%3Asearch%7Cquery_from%3A</t>
  </si>
  <si>
    <t>https://pt.aliexpress.com/item/1005003123347295.html?spm=a2g0o.productlist.main.3.16cb57ebYfUiKf&amp;algo_pvid=6b664e41-df60-415b-8526-1938216df176&amp;algo_exp_id=6b664e41-df60-415b-8526-1938216df176-1&amp;pdp_npi=4%40dis%21BRL%21165.38%21109.15%21%21%2126.03%2117.18%21%40210313e917343577423101471e9b28%2112000024257381198%21sea%21BR%21133207410%21X&amp;curPageLogUid=0sVZ8e77lKMh&amp;utparam-url=scene%3Asearch%7Cquery_from%3A</t>
  </si>
  <si>
    <t>AUTOMAÇÃO SAUNA</t>
  </si>
  <si>
    <t>AUTOMAÇÃO PISO AQUECIDO</t>
  </si>
  <si>
    <t>Final</t>
  </si>
  <si>
    <t>Produtos</t>
  </si>
  <si>
    <t>Toni</t>
  </si>
  <si>
    <t>Spazio</t>
  </si>
  <si>
    <t>M.O.</t>
  </si>
  <si>
    <t>HIGH END</t>
  </si>
  <si>
    <t>Margem equips</t>
  </si>
  <si>
    <t>Data</t>
  </si>
  <si>
    <t>Fornecedor</t>
  </si>
  <si>
    <t>Produto</t>
  </si>
  <si>
    <t>Quem pagou?</t>
  </si>
  <si>
    <t>NSC</t>
  </si>
  <si>
    <t>5x Caixa de passagem</t>
  </si>
  <si>
    <t>2 Painel 1200 x 800 x 600</t>
  </si>
  <si>
    <t>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</si>
</sst>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0" fontId="2" fillId="0" borderId="0" xfId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/>
    <xf numFmtId="8" fontId="0" fillId="0" borderId="0" xfId="0" applyNumberFormat="1"/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right" indent="1"/>
    </xf>
    <xf numFmtId="0" fontId="0" fillId="3" borderId="0" xfId="0" applyFill="1" applyAlignment="1">
      <alignment horizontal="center"/>
    </xf>
    <xf numFmtId="8" fontId="1" fillId="0" borderId="0" xfId="0" applyNumberFormat="1" applyFont="1"/>
    <xf numFmtId="8" fontId="1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</cellXfs>
  <cellStyles count="2">
    <cellStyle name="Hiperlink" xfId="1" builtinId="8"/>
    <cellStyle name="Normal" xfId="0" builtinId="0"/>
  </cellStyles>
  <dxfs count="16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1" justifyLastLine="0" shrinkToFit="0" readingOrder="0"/>
    </dxf>
    <dxf>
      <alignment horizontal="right" vertical="bottom" textRotation="0" wrapText="0" indent="1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1" justifyLastLine="0" shrinkToFit="0" readingOrder="0"/>
    </dxf>
    <dxf>
      <alignment horizontal="right" vertical="bottom" textRotation="0" wrapText="0" indent="1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</dxfs>
  <tableStyles count="0" defaultTableStyle="TableStyleLight11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D51448-B286-4B6C-AB64-F2E9225116C3}" name="Tabela6" displayName="Tabela6" ref="B3:J5" totalsRowCount="1">
  <autoFilter ref="B3:J4" xr:uid="{6BD51448-B286-4B6C-AB64-F2E9225116C3}"/>
  <tableColumns count="9">
    <tableColumn id="1" xr3:uid="{14C5F700-2AD7-4898-B5A5-071CAFB63560}" name="Equipamento" totalsRowLabel="Total"/>
    <tableColumn id="2" xr3:uid="{202CD8A4-AD21-434A-B67A-7C09FDC13464}" name="Item Spazio"/>
    <tableColumn id="3" xr3:uid="{EB2C766D-62E2-4378-AB0D-3B6B6497C673}" name="Equivalente"/>
    <tableColumn id="4" xr3:uid="{614AB8C9-A0A6-40C2-BAD5-D9DDC41AD8C5}" name="Qt"/>
    <tableColumn id="5" xr3:uid="{5DD05E86-0B5B-4767-B8D7-D02CC6F387C9}" name="Valor unit" dataDxfId="163"/>
    <tableColumn id="6" xr3:uid="{37E1BC73-B041-4986-8108-FF44AE604CBE}" name="Valor total" totalsRowFunction="sum" dataDxfId="162" totalsRowDxfId="161"/>
    <tableColumn id="8" xr3:uid="{C5D335B8-9FA0-4C0B-A73D-818AAEFD2149}" name="Custo spazio" totalsRowFunction="sum" dataDxfId="160" totalsRowDxfId="159"/>
    <tableColumn id="7" xr3:uid="{61F9F347-FF75-42AC-965D-502B5ED26418}" name="Link" totalsRowFunction="count" dataDxfId="158" totalsRowDxfId="157"/>
    <tableColumn id="9" xr3:uid="{6929B944-8F10-401C-827D-BBA045DF7F18}" name="Toni" totalsRowFunction="sum" dataDxfId="156">
      <calculatedColumnFormula>Tabela6[[#This Row],[Valor total]]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BF4A1C-331D-46E8-ABDE-74FF3D9DF8ED}" name="Quadro_Eletrico_Minimo" displayName="Quadro_Eletrico_Minimo" ref="B21:J26" totalsRowCount="1">
  <autoFilter ref="B21:J25" xr:uid="{D1BF4A1C-331D-46E8-ABDE-74FF3D9DF8ED}"/>
  <tableColumns count="9">
    <tableColumn id="1" xr3:uid="{E7FF77B2-D3C7-4FE0-91C8-4F697E1DAA12}" name="Equipamento" totalsRowLabel="Total"/>
    <tableColumn id="2" xr3:uid="{4D7B6934-500F-490A-8979-9D6326F6108B}" name="Item Spazio"/>
    <tableColumn id="3" xr3:uid="{F4B01423-1C42-4625-B333-378EB9FE97E0}" name="Substitui"/>
    <tableColumn id="4" xr3:uid="{0C94F6FA-7924-4760-A0EE-0B65D72929B0}" name="Qt"/>
    <tableColumn id="5" xr3:uid="{69D803BC-D36C-41CA-A0CD-D397B0C9C3B0}" name="Valor" dataDxfId="155"/>
    <tableColumn id="6" xr3:uid="{2D621277-4AFB-441D-843F-2880CCEB3A0D}" name="Valor total" totalsRowFunction="sum" dataDxfId="154" totalsRowDxfId="153">
      <calculatedColumnFormula>F22*E22</calculatedColumnFormula>
    </tableColumn>
    <tableColumn id="7" xr3:uid="{E7036691-9775-45F9-9A49-D8CBBE0CB2F0}" name="Custo spazio" totalsRowFunction="sum" dataDxfId="152" totalsRowDxfId="151"/>
    <tableColumn id="8" xr3:uid="{72E90854-E4ED-4CC8-B498-812CF819AA98}" name="Link" dataDxfId="150"/>
    <tableColumn id="9" xr3:uid="{B8FB271C-7AD5-41F8-80B5-2595E3DC6720}" name="Toni" totalsRowFunction="sum" dataDxfId="149">
      <calculatedColumnFormula>Quadro_Eletrico_Minimo[[#This Row],[Valor total]]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09314-1722-4603-8195-AF4E15D46039}" name="Rede_Minimo" displayName="Rede_Minimo" ref="B10:J17" totalsRowCount="1">
  <autoFilter ref="B10:J16" xr:uid="{CB509314-1722-4603-8195-AF4E15D46039}"/>
  <tableColumns count="9">
    <tableColumn id="1" xr3:uid="{EBF755E2-37EE-464F-84D2-450C9CFEAB67}" name="Equipamento" totalsRowLabel="Total"/>
    <tableColumn id="2" xr3:uid="{1BD5CF76-8BAC-49BA-BEB4-DBE4E55DF823}" name="Item Spazio"/>
    <tableColumn id="3" xr3:uid="{AC353FBC-C1E8-4C10-8F66-1052054295C1}" name="Substitui"/>
    <tableColumn id="4" xr3:uid="{081FB105-3C33-4FD0-B771-B2D1D1F11DAC}" name="Qt"/>
    <tableColumn id="5" xr3:uid="{196DAA2D-8306-49F0-96B5-746C668ABDBB}" name="Valor" dataDxfId="148"/>
    <tableColumn id="6" xr3:uid="{89295A12-8EB2-4C88-B18A-A7FB26FAD3AB}" name="Valor total" totalsRowFunction="sum" dataDxfId="147" totalsRowDxfId="146">
      <calculatedColumnFormula>F11*E11</calculatedColumnFormula>
    </tableColumn>
    <tableColumn id="8" xr3:uid="{0091AE7B-9933-4B4C-A0E7-C626B2EC5F19}" name="Custo spazio" totalsRowFunction="sum" dataDxfId="145" totalsRowDxfId="144"/>
    <tableColumn id="7" xr3:uid="{691C8E19-2049-42AF-BC56-E62B8D0B44A9}" name="Link" dataDxfId="143" totalsRowDxfId="142"/>
    <tableColumn id="9" xr3:uid="{CB03665C-1E11-4F07-ACB6-1AC2D009FD94}" name="Toni" totalsRowFunction="sum" dataDxfId="141">
      <calculatedColumnFormula>Rede_Minimo[[#This Row],[Valor total]]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99C2FBC-CEF2-4132-BB26-FA3A1881DC72}" name="Iluminacao_Minimo" displayName="Iluminacao_Minimo" ref="B29:J34" totalsRowCount="1">
  <autoFilter ref="B29:J33" xr:uid="{F99C2FBC-CEF2-4132-BB26-FA3A1881DC72}"/>
  <tableColumns count="9">
    <tableColumn id="1" xr3:uid="{ECBE3262-48E1-403E-B68D-1ED4ED226230}" name="Equipamento" totalsRowLabel="Total"/>
    <tableColumn id="2" xr3:uid="{4A37150E-8C2A-4975-8421-C34B4ED28AB5}" name="Item Spazio"/>
    <tableColumn id="3" xr3:uid="{88D4CA1B-8995-4AF9-916D-B3019FF98896}" name="Substitui"/>
    <tableColumn id="4" xr3:uid="{9C19718C-9856-492C-BE0B-C223A627D9F0}" name="Qt"/>
    <tableColumn id="5" xr3:uid="{77F6C63A-B912-4E94-B3CB-F856468E9F76}" name="Valor" dataDxfId="140"/>
    <tableColumn id="6" xr3:uid="{E9D083D0-67DC-48B1-92C7-FB5AC5595F3F}" name="Valor total" totalsRowFunction="sum" dataDxfId="139" totalsRowDxfId="138">
      <calculatedColumnFormula>F30*E30</calculatedColumnFormula>
    </tableColumn>
    <tableColumn id="7" xr3:uid="{93CA8F28-9B11-44FF-8D19-51A56F3703DC}" name="Custo spazio" totalsRowFunction="sum" dataDxfId="137" totalsRowDxfId="136"/>
    <tableColumn id="8" xr3:uid="{12839051-E0A6-494F-98AB-509F79009129}" name="Link" dataDxfId="135"/>
    <tableColumn id="9" xr3:uid="{53B04F0B-169B-4520-9CEF-B3B872C11799}" name="Toni" totalsRowFunction="sum" dataDxfId="134">
      <calculatedColumnFormula>Iluminacao_Minimo[[#This Row],[Valor total]]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4126403-12E6-4909-B380-DE4A4CBC04C0}" name="Persianas_Minimo" displayName="Persianas_Minimo" ref="B37:J42" totalsRowCount="1">
  <autoFilter ref="B37:J41" xr:uid="{34126403-12E6-4909-B380-DE4A4CBC04C0}"/>
  <tableColumns count="9">
    <tableColumn id="1" xr3:uid="{7BCE8063-7448-49A4-9D7B-C46A4A0F7011}" name="Equipamento" totalsRowLabel="Total"/>
    <tableColumn id="2" xr3:uid="{A22FEEC5-1225-4998-8D7F-AB45E78D680A}" name="Item Spazio"/>
    <tableColumn id="3" xr3:uid="{5423B85A-28DF-4D11-B965-4BFF2BACE397}" name="Substitui"/>
    <tableColumn id="4" xr3:uid="{19554E17-58AB-4227-BD62-AF86782F0492}" name="Qt"/>
    <tableColumn id="5" xr3:uid="{775CB915-FFE5-4C4A-9B87-9700CF942447}" name="Valor" dataDxfId="133"/>
    <tableColumn id="6" xr3:uid="{26FE7315-1709-4E4A-8BF4-C10B5ED0D8EB}" name="Valor total" totalsRowFunction="sum" dataDxfId="132" totalsRowDxfId="131">
      <calculatedColumnFormula>F38*E38</calculatedColumnFormula>
    </tableColumn>
    <tableColumn id="7" xr3:uid="{83F400CE-CA54-4EDF-9051-500B9218F82E}" name="Custo spazio" totalsRowFunction="sum" dataDxfId="130" totalsRowDxfId="129"/>
    <tableColumn id="8" xr3:uid="{5FC69CBC-47CD-4A32-8417-B53A684336D7}" name="Link" dataDxfId="128"/>
    <tableColumn id="9" xr3:uid="{B1E053B1-3829-440B-8CD5-502AA3A2D997}" name="Toni" totalsRowFunction="sum" dataDxfId="127">
      <calculatedColumnFormula>Persianas_Minimo[[#This Row],[Valor total]]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B5F0081-AA12-4541-A462-602E0247AA8F}" name="AC_Minimo" displayName="AC_Minimo" ref="B46:J51" totalsRowCount="1">
  <autoFilter ref="B46:J50" xr:uid="{7B5F0081-AA12-4541-A462-602E0247AA8F}"/>
  <tableColumns count="9">
    <tableColumn id="1" xr3:uid="{643DA8FB-34FB-4191-8B99-F0283A827A67}" name="Equipamento" totalsRowLabel="Total"/>
    <tableColumn id="2" xr3:uid="{8952472B-FE00-47F4-9584-F2F88597C29D}" name="Item Spazio"/>
    <tableColumn id="3" xr3:uid="{8490B581-1031-4359-AF94-3D7BEE998517}" name="Substitui"/>
    <tableColumn id="4" xr3:uid="{73BD8257-D197-42FD-ABB5-666EFE8E27F2}" name="Qt"/>
    <tableColumn id="5" xr3:uid="{F26215C7-2131-4B64-9E13-EAD7DBF0AFF1}" name="Valor" dataDxfId="126"/>
    <tableColumn id="6" xr3:uid="{AFA9D540-97AD-46EB-96BB-291DCA84AB6B}" name="Valor total" totalsRowFunction="sum" dataDxfId="125" totalsRowDxfId="124">
      <calculatedColumnFormula>F47*E47</calculatedColumnFormula>
    </tableColumn>
    <tableColumn id="7" xr3:uid="{ADFBEC63-2C59-4D73-BB6E-06A286361862}" name="Custo spazio" totalsRowFunction="sum" dataDxfId="123" totalsRowDxfId="122"/>
    <tableColumn id="8" xr3:uid="{FB0726EB-3BDF-47A6-A4B5-0969B7DE3222}" name="Link" dataDxfId="121"/>
    <tableColumn id="9" xr3:uid="{08826183-6BC0-4C22-A734-73D8CCBCEC64}" name="Toni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97029F2-668B-47ED-A061-FBB6F2CFB855}" name="Sauna_Minimo" displayName="Sauna_Minimo" ref="B55:J60" totalsRowCount="1">
  <autoFilter ref="B55:J59" xr:uid="{397029F2-668B-47ED-A061-FBB6F2CFB855}"/>
  <tableColumns count="9">
    <tableColumn id="1" xr3:uid="{03902037-636A-41F8-9A6B-5798EE8B5208}" name="Equipamento" totalsRowLabel="Total"/>
    <tableColumn id="2" xr3:uid="{003B336B-3C20-47EA-98B9-5445557B581D}" name="Item Spazio"/>
    <tableColumn id="3" xr3:uid="{AC5671BC-16A3-4E5A-9617-931AF8304505}" name="Substitui"/>
    <tableColumn id="4" xr3:uid="{31C4B30C-B253-45C5-BABF-02805C6897F8}" name="Qt"/>
    <tableColumn id="5" xr3:uid="{7AE68770-4647-4C4A-ADDC-9AA7ACDD0639}" name="Valor" dataDxfId="120"/>
    <tableColumn id="6" xr3:uid="{B933535D-C621-4CA1-8683-D52BF6EDB0E8}" name="Valor total" totalsRowFunction="sum" dataDxfId="119" totalsRowDxfId="118">
      <calculatedColumnFormula>F56*E56</calculatedColumnFormula>
    </tableColumn>
    <tableColumn id="7" xr3:uid="{C1F0CBFD-4A7F-4A5D-B385-B7A3842645F3}" name="Custo spazio" totalsRowFunction="sum" dataDxfId="117" totalsRowDxfId="116"/>
    <tableColumn id="8" xr3:uid="{36F7904D-0137-4C7F-AD49-9607DF9D9DA8}" name="Link" dataDxfId="115"/>
    <tableColumn id="9" xr3:uid="{C3DC1A87-321A-4136-8DB7-C099713DA154}" name="Toni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4379D8D-C97E-4E6E-B454-0A419B6DA98C}" name="Piso_Minimo" displayName="Piso_Minimo" ref="B64:J69" totalsRowCount="1">
  <autoFilter ref="B64:J68" xr:uid="{44379D8D-C97E-4E6E-B454-0A419B6DA98C}"/>
  <tableColumns count="9">
    <tableColumn id="1" xr3:uid="{D8F934BF-EE15-4C66-8F36-C3031915472E}" name="Equipamento" totalsRowLabel="Total"/>
    <tableColumn id="2" xr3:uid="{8038C444-A5DE-424A-AC87-1B275A8A4E3F}" name="Item Spazio"/>
    <tableColumn id="3" xr3:uid="{7BEEF9C3-D4D6-4280-876D-4BA14920C3A8}" name="Substitui"/>
    <tableColumn id="4" xr3:uid="{60DBD858-75B9-4208-894B-D4AEEE54A428}" name="Qt"/>
    <tableColumn id="5" xr3:uid="{874EF3FA-B19F-41FD-96F5-FE1FDDCB40B3}" name="Valor" dataDxfId="114"/>
    <tableColumn id="6" xr3:uid="{1E47BEE9-2B3A-4193-8CC4-8C2D9D49048B}" name="Valor total" totalsRowFunction="sum" dataDxfId="113" totalsRowDxfId="112">
      <calculatedColumnFormula>F65*E65</calculatedColumnFormula>
    </tableColumn>
    <tableColumn id="7" xr3:uid="{8206A4E6-F271-4E83-9DDA-2F6194905AEE}" name="Custo spazio" totalsRowFunction="sum" dataDxfId="111" totalsRowDxfId="110"/>
    <tableColumn id="8" xr3:uid="{D02AE462-A040-410D-8BFC-A79D23E63A08}" name="Link" dataDxfId="109"/>
    <tableColumn id="9" xr3:uid="{39C8C54B-3334-409B-9ACC-15E406BF7DF6}" name="Toni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7CC818-6333-464F-BE4F-9F371C43EC71}" name="Rede_Melhor" displayName="Rede_Melhor" ref="B10:J17" totalsRowCount="1">
  <autoFilter ref="B10:J16" xr:uid="{AC7CC818-6333-464F-BE4F-9F371C43EC71}"/>
  <tableColumns count="9">
    <tableColumn id="1" xr3:uid="{01F53C7B-6C4E-40F1-8528-9243B83392C8}" name="Equipamento" totalsRowLabel="Total"/>
    <tableColumn id="2" xr3:uid="{CAC5CD88-DF8E-4EB4-AF60-5BFD5F385923}" name="Item Spazio"/>
    <tableColumn id="3" xr3:uid="{A72B0A2D-10F3-421B-99B5-EEA9CD8E8FB7}" name="Substitui"/>
    <tableColumn id="4" xr3:uid="{38D48326-B902-4839-94E8-FCB39CC5E042}" name="Qt"/>
    <tableColumn id="5" xr3:uid="{D649DE46-72EC-4B32-991A-D036E7CFECE4}" name="Valor" dataDxfId="108" totalsRowDxfId="107"/>
    <tableColumn id="6" xr3:uid="{62B0CCF7-967A-433C-A423-B7F4D992B14F}" name="Valor total" totalsRowFunction="sum" dataDxfId="106" totalsRowDxfId="105">
      <calculatedColumnFormula>F11*E11</calculatedColumnFormula>
    </tableColumn>
    <tableColumn id="7" xr3:uid="{674D6B73-6B47-4F95-96FE-F11AA24CC8E0}" name="Custo spazio" totalsRowFunction="sum" dataDxfId="104" totalsRowDxfId="103"/>
    <tableColumn id="8" xr3:uid="{D9B1FE93-7F16-43C3-AD97-660AECDC1801}" name="Link" dataDxfId="102"/>
    <tableColumn id="9" xr3:uid="{D2FDCB59-6668-42B1-A8CA-21117332C4B7}" name="Obs: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8F0513-C153-4687-9F2B-D8215DCEAD83}" name="Tabela4" displayName="Tabela4" ref="B3:J5" totalsRowCount="1">
  <autoFilter ref="B3:J4" xr:uid="{728F0513-C153-4687-9F2B-D8215DCEAD83}"/>
  <tableColumns count="9">
    <tableColumn id="1" xr3:uid="{7F3636CF-E852-4E0D-9C8B-E275737AE0AD}" name="Equipamento" totalsRowLabel="Total"/>
    <tableColumn id="2" xr3:uid="{032F730B-6BDB-4B4B-B959-2AF879873E08}" name="Item Spazio"/>
    <tableColumn id="3" xr3:uid="{5F0650F0-0C8E-4000-8584-051FE22EFEB4}" name="Equivalente"/>
    <tableColumn id="4" xr3:uid="{2819C0FD-3341-44D7-B6F6-36856DD59062}" name="Qt"/>
    <tableColumn id="5" xr3:uid="{63EC6D0D-098A-4C9D-9984-476B7FDD2B81}" name="Valor unit" dataDxfId="101" totalsRowDxfId="100">
      <calculatedColumnFormula>978.4+754.93</calculatedColumnFormula>
    </tableColumn>
    <tableColumn id="6" xr3:uid="{C857E868-B174-4E62-BE9C-AFABDE80F996}" name="Valor total" totalsRowFunction="sum" dataDxfId="99" totalsRowDxfId="98">
      <calculatedColumnFormula>F4*E4</calculatedColumnFormula>
    </tableColumn>
    <tableColumn id="7" xr3:uid="{A0F7BDAF-8320-484C-A657-8E56BBD4A069}" name="Custo Spazio" totalsRowFunction="sum" dataDxfId="97" totalsRowDxfId="96"/>
    <tableColumn id="8" xr3:uid="{1EC848C3-A052-479B-BC2E-D8313F66DA7C}" name="Link" dataDxfId="95"/>
    <tableColumn id="9" xr3:uid="{44ABFC85-02DF-42BB-A4BA-273E089A70FB}" name="Obs: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E3AC3A-D196-4FD2-9E2B-8C259733E935}" name="Rede_Minimo89" displayName="Rede_Minimo89" ref="B21:J26" totalsRowCount="1">
  <autoFilter ref="B21:J25" xr:uid="{DFE3AC3A-D196-4FD2-9E2B-8C259733E935}"/>
  <tableColumns count="9">
    <tableColumn id="1" xr3:uid="{FB212A3D-2C37-427F-9ED6-FD2797DF258D}" name="Equipamento" totalsRowLabel="Total"/>
    <tableColumn id="2" xr3:uid="{F0DD215E-1F93-42E5-87FA-C013BD396AA3}" name="Item Spazio"/>
    <tableColumn id="3" xr3:uid="{C3853E76-C8A6-444F-8AA9-2AC38E8F7302}" name="Substitui"/>
    <tableColumn id="4" xr3:uid="{6C92D3CE-D2EE-45AA-9D73-1CCBB201FF6D}" name="Qt"/>
    <tableColumn id="5" xr3:uid="{D1F2EAEF-3DE5-4DE7-A03E-A660CC404AE7}" name="Valor" dataDxfId="94" totalsRowDxfId="93"/>
    <tableColumn id="6" xr3:uid="{F8A29CF3-70B4-4C07-8FE1-0194F2BC594E}" name="Valor total" totalsRowFunction="sum" dataDxfId="92" totalsRowDxfId="91">
      <calculatedColumnFormula>F22*E22</calculatedColumnFormula>
    </tableColumn>
    <tableColumn id="7" xr3:uid="{06595C4D-27B3-4C0D-B9D3-6D368BA6F704}" name="Custo spazio" totalsRowFunction="sum" dataDxfId="90" totalsRowDxfId="89"/>
    <tableColumn id="8" xr3:uid="{44F12B72-C03E-4368-B253-06EFA7C20466}" name="Link" dataDxfId="88"/>
    <tableColumn id="9" xr3:uid="{A2423ADF-1099-4385-B126-5E55282E15E8}" name="Coluna2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04ABB3C-B17D-41AA-8EAE-8B67E92E6ECD}" name="Rede_Minimo81011" displayName="Rede_Minimo81011" ref="B29:J34" totalsRowCount="1">
  <autoFilter ref="B29:J33" xr:uid="{F04ABB3C-B17D-41AA-8EAE-8B67E92E6ECD}"/>
  <tableColumns count="9">
    <tableColumn id="1" xr3:uid="{360031E4-F945-4427-8B34-F7F0BC7887B9}" name="Equipamento" totalsRowLabel="Total"/>
    <tableColumn id="2" xr3:uid="{183DC694-26D2-48DC-93C6-39BCA4653E31}" name="Item Spazio"/>
    <tableColumn id="3" xr3:uid="{C17F5127-2BAA-429E-9512-ACEA1E8F2E39}" name="Substitui"/>
    <tableColumn id="4" xr3:uid="{9509DF17-D795-4BAA-8ACC-2A3289924940}" name="Qt"/>
    <tableColumn id="5" xr3:uid="{076F2B7B-C719-4736-B402-8349F59D509C}" name="Valor" dataDxfId="87"/>
    <tableColumn id="6" xr3:uid="{CECA799B-ED4F-42D5-AFB2-40FB8123ECCB}" name="Valor total" totalsRowFunction="sum" dataDxfId="86" totalsRowDxfId="85">
      <calculatedColumnFormula>F30*E30</calculatedColumnFormula>
    </tableColumn>
    <tableColumn id="7" xr3:uid="{2A7F53FF-05F2-4CF3-B8A9-1B15289B9D91}" name="Custo spazio" totalsRowFunction="sum" dataDxfId="84" totalsRowDxfId="83"/>
    <tableColumn id="8" xr3:uid="{E1A15A2D-72AC-43EB-B4B6-30431B1A82D3}" name="Link" dataDxfId="82"/>
    <tableColumn id="9" xr3:uid="{6A1D45EB-D003-422A-A0C8-478D63C311EC}" name="Obs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B0A152-5779-42A4-B7A0-54F81E0576D2}" name="Rede_Minimo8101214" displayName="Rede_Minimo8101214" ref="B37:J42" totalsRowCount="1">
  <autoFilter ref="B37:J41" xr:uid="{4AB0A152-5779-42A4-B7A0-54F81E0576D2}"/>
  <tableColumns count="9">
    <tableColumn id="1" xr3:uid="{7147C7CC-422A-4484-935E-818C43DD3957}" name="Equipamento" totalsRowLabel="Total"/>
    <tableColumn id="2" xr3:uid="{0FC693AD-AF1C-4B6D-AAFB-F8BF0EDFD8B6}" name="Item Spazio"/>
    <tableColumn id="3" xr3:uid="{2C274BE0-B08C-41E6-8A2D-A6E5A7542437}" name="Substitui"/>
    <tableColumn id="4" xr3:uid="{0E20B133-AD42-47CA-B07C-27AB70A72663}" name="Qt"/>
    <tableColumn id="5" xr3:uid="{CFF870F1-E06F-4463-AC83-93610F936CDC}" name="Valor" dataDxfId="81"/>
    <tableColumn id="6" xr3:uid="{D99C1471-53E6-409E-A67E-8FCDE2A02B99}" name="Valor total" totalsRowFunction="sum" dataDxfId="80" totalsRowDxfId="79">
      <calculatedColumnFormula>F38*E38</calculatedColumnFormula>
    </tableColumn>
    <tableColumn id="7" xr3:uid="{411F2DC1-F1FD-4CEF-860C-C4BAF6F6A286}" name="Custo spazio" totalsRowFunction="sum" dataDxfId="78" totalsRowDxfId="77"/>
    <tableColumn id="8" xr3:uid="{16C7502D-ED1D-42B0-94BD-1B645B5E0487}" name="Link" dataDxfId="76"/>
    <tableColumn id="9" xr3:uid="{D1A1F00C-CBC8-4422-917B-D839ECFAA383}" name="Obs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CEA6944-FD6E-479E-8288-DAB6DDCA53E9}" name="Rede_Minimo810121315" displayName="Rede_Minimo810121315" ref="B46:J51" totalsRowCount="1">
  <autoFilter ref="B46:J50" xr:uid="{ACEA6944-FD6E-479E-8288-DAB6DDCA53E9}"/>
  <tableColumns count="9">
    <tableColumn id="1" xr3:uid="{8C354E9B-C0B6-4C84-AD01-08900615D6E9}" name="Equipamento" totalsRowLabel="Total"/>
    <tableColumn id="2" xr3:uid="{8F9DE229-C5E0-4F2C-A718-B3A1A0D91C81}" name="Item Spazio"/>
    <tableColumn id="3" xr3:uid="{0CD71B9A-97F8-4115-BB3B-BE0331560FB3}" name="Substitui"/>
    <tableColumn id="4" xr3:uid="{CF2296E1-B26F-4135-AEDB-87EDDA1A2875}" name="Qt"/>
    <tableColumn id="5" xr3:uid="{8B877A34-15AA-4985-814D-31ABC4352249}" name="Valor" dataDxfId="75"/>
    <tableColumn id="6" xr3:uid="{A49FCF4A-B7FF-43AE-A979-7BCF2380C4DC}" name="Valor total" totalsRowFunction="sum" dataDxfId="74" totalsRowDxfId="73">
      <calculatedColumnFormula>F47*E47</calculatedColumnFormula>
    </tableColumn>
    <tableColumn id="7" xr3:uid="{5A3E9DC6-324B-4892-BA63-224E99B2A0BA}" name="Custo spazio" totalsRowFunction="sum" dataDxfId="72" totalsRowDxfId="71"/>
    <tableColumn id="8" xr3:uid="{6D44473A-967A-4C7E-8029-A0131A195D99}" name="Link" dataDxfId="70"/>
    <tableColumn id="9" xr3:uid="{0B168E47-AB90-4CEA-9BEB-42DB117877FB}" name="Obs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D59405A-C0AE-4B34-8176-3261B138F8B9}" name="Rede_Minimo81012131617" displayName="Rede_Minimo81012131617" ref="B55:I60" totalsRowCount="1">
  <autoFilter ref="B55:I59" xr:uid="{6D59405A-C0AE-4B34-8176-3261B138F8B9}"/>
  <tableColumns count="8">
    <tableColumn id="1" xr3:uid="{D443C145-1E0C-4950-9017-2EF13F557CDB}" name="Equipamento" totalsRowLabel="Total"/>
    <tableColumn id="2" xr3:uid="{CB8BD121-761B-421C-BCD9-BA1C3925F63F}" name="Item Spazio"/>
    <tableColumn id="3" xr3:uid="{D55CEBD8-7F95-42B3-ADE6-C728882E0D84}" name="Substitui"/>
    <tableColumn id="4" xr3:uid="{58032748-6780-4FF7-BF4C-C98B205E4B11}" name="Qt"/>
    <tableColumn id="5" xr3:uid="{3C66BA86-D97A-47A1-B0BB-7792A022F3E2}" name="Valor" dataDxfId="69"/>
    <tableColumn id="6" xr3:uid="{749F51C5-C732-403D-AE9C-F1F9080D6504}" name="Valor total" totalsRowFunction="sum" dataDxfId="68" totalsRowDxfId="67">
      <calculatedColumnFormula>F56*E56</calculatedColumnFormula>
    </tableColumn>
    <tableColumn id="7" xr3:uid="{7618C2FD-46E6-4422-B229-87F88FD5E4D2}" name="Custo spazio" totalsRowFunction="sum" dataDxfId="66" totalsRowDxfId="65"/>
    <tableColumn id="8" xr3:uid="{50E3C8DC-1E8A-4FBD-A4BE-AB5D56B80607}" name="Link" dataDxfId="64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A6FDD6-C72F-4E8D-9BF4-E971DEED1AFD}" name="Rede_Minimo8101213161819" displayName="Rede_Minimo8101213161819" ref="B64:I69" totalsRowCount="1">
  <autoFilter ref="B64:I68" xr:uid="{47A6FDD6-C72F-4E8D-9BF4-E971DEED1AFD}"/>
  <tableColumns count="8">
    <tableColumn id="1" xr3:uid="{50F68920-4C60-43D7-ADB2-19745F440797}" name="Equipamento" totalsRowLabel="Total"/>
    <tableColumn id="2" xr3:uid="{9D1765D0-A45B-49EE-81D2-F954EB2B4718}" name="Item Spazio"/>
    <tableColumn id="3" xr3:uid="{C968C75B-2D73-4B25-9868-0FB42D74BB11}" name="Substitui"/>
    <tableColumn id="4" xr3:uid="{ECDB48C8-EA32-4D82-9DEA-C12C0DB8160B}" name="Qt"/>
    <tableColumn id="5" xr3:uid="{EAC6DC7A-04A1-40BB-82C1-236EAD93F70C}" name="Valor" dataDxfId="63"/>
    <tableColumn id="6" xr3:uid="{7561B2A7-356B-41F1-8C56-6360A79B417A}" name="Valor total" totalsRowFunction="sum" dataDxfId="62" totalsRowDxfId="61">
      <calculatedColumnFormula>F65*E65</calculatedColumnFormula>
    </tableColumn>
    <tableColumn id="7" xr3:uid="{F75EC4C9-CCC2-4913-A492-B0E11E8FDD6B}" name="Custo spazio" totalsRowFunction="sum" dataDxfId="60" totalsRowDxfId="59"/>
    <tableColumn id="8" xr3:uid="{37B0C2A3-1E0C-4B5C-8F33-85C927A4D3BD}" name="Link" dataDxfId="58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C049A92-1D7C-4B64-BB99-3BB39DAE4D56}" name="Rede_Melhor20" displayName="Rede_Melhor20" ref="B10:J17" totalsRowCount="1">
  <autoFilter ref="B10:J16" xr:uid="{5C049A92-1D7C-4B64-BB99-3BB39DAE4D56}"/>
  <tableColumns count="9">
    <tableColumn id="1" xr3:uid="{CEEECFC3-1D2E-4F5E-9E62-E3B8BA56CA9D}" name="Equipamento" totalsRowLabel="Total"/>
    <tableColumn id="2" xr3:uid="{CB76CBB8-E85A-4BF1-A849-D97AA87BA80C}" name="Item Spazio"/>
    <tableColumn id="3" xr3:uid="{E26E9C2C-4FE4-4A26-ABC2-17DE698D8A60}" name="Substitui"/>
    <tableColumn id="4" xr3:uid="{FEF01651-2A73-4075-A4C0-7D1F1A1D2FFB}" name="Qt"/>
    <tableColumn id="5" xr3:uid="{C123E283-F55E-4EE0-82D0-87143939B69C}" name="Valor" dataDxfId="57" totalsRowDxfId="56"/>
    <tableColumn id="6" xr3:uid="{0F65D080-2E78-404C-B0BB-E9878F96F75C}" name="Valor total" totalsRowFunction="sum" dataDxfId="55" totalsRowDxfId="54">
      <calculatedColumnFormula>F11*E11</calculatedColumnFormula>
    </tableColumn>
    <tableColumn id="7" xr3:uid="{331775B7-75FA-4313-A064-6C5605303064}" name="Custo spazio" totalsRowFunction="sum" dataDxfId="53" totalsRowDxfId="52"/>
    <tableColumn id="8" xr3:uid="{4A6C1E12-5E86-42BA-88E5-1101ABF77D95}" name="Link" dataDxfId="51"/>
    <tableColumn id="9" xr3:uid="{2C711BF3-AE7E-43E6-A90F-E1BA4852E325}" name="Obs: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CA9A00E-7A48-48C4-96F3-4094DCAC8CE8}" name="Tabela421" displayName="Tabela421" ref="B3:J5" totalsRowCount="1">
  <autoFilter ref="B3:J4" xr:uid="{9CA9A00E-7A48-48C4-96F3-4094DCAC8CE8}"/>
  <tableColumns count="9">
    <tableColumn id="1" xr3:uid="{27834E9E-5329-4F79-948C-7C0065139BE6}" name="Equipamento" totalsRowLabel="Total"/>
    <tableColumn id="2" xr3:uid="{DA7E4632-E8FE-461F-9FFF-F195528B618B}" name="Item Spazio"/>
    <tableColumn id="3" xr3:uid="{8BEE84AF-0658-4361-8F4B-14372E2BB89E}" name="Equivalente"/>
    <tableColumn id="4" xr3:uid="{79C80738-40A7-40FA-8A68-D4C0E67A3793}" name="Qt"/>
    <tableColumn id="5" xr3:uid="{A80881B1-632E-4EFA-89DB-61D5A263F8F3}" name="Valor unit" dataDxfId="50" totalsRowDxfId="49">
      <calculatedColumnFormula>978.4+754.93</calculatedColumnFormula>
    </tableColumn>
    <tableColumn id="6" xr3:uid="{D1B6AC96-1635-4993-9963-CE25D0AEEDBC}" name="Valor total" totalsRowFunction="sum" dataDxfId="48" totalsRowDxfId="47">
      <calculatedColumnFormula>F4*E4</calculatedColumnFormula>
    </tableColumn>
    <tableColumn id="7" xr3:uid="{494FB2DD-0F4C-4259-BB99-FF13DD753125}" name="Custo Spazio" totalsRowFunction="sum" dataDxfId="46" totalsRowDxfId="45"/>
    <tableColumn id="8" xr3:uid="{ED6CB60A-36DC-43EF-ACE5-4C5A8F37FBB6}" name="Link" dataDxfId="44"/>
    <tableColumn id="9" xr3:uid="{FB0D2DD9-A3C7-4978-BB46-4966B9847540}" name="Obs: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862E2EC-6AF0-4BB5-9812-47FB356A3664}" name="Rede_Minimo8922" displayName="Rede_Minimo8922" ref="B21:J26" totalsRowCount="1">
  <autoFilter ref="B21:J25" xr:uid="{9862E2EC-6AF0-4BB5-9812-47FB356A3664}"/>
  <tableColumns count="9">
    <tableColumn id="1" xr3:uid="{8634245D-DAC9-4DF9-9C63-441F65FBF97F}" name="Equipamento" totalsRowLabel="Total"/>
    <tableColumn id="2" xr3:uid="{D82E4922-29F9-4D6F-9F20-DF5B90212ACC}" name="Item Spazio"/>
    <tableColumn id="3" xr3:uid="{31526D50-82CD-4A35-AD74-91D3CD2A0A53}" name="Substitui"/>
    <tableColumn id="4" xr3:uid="{64E6FF73-F648-4219-8C47-7CF25FDE8A39}" name="Qt"/>
    <tableColumn id="5" xr3:uid="{C2D2F682-1C02-472C-BA85-A2CBBBB985C4}" name="Valor" dataDxfId="43" totalsRowDxfId="42"/>
    <tableColumn id="6" xr3:uid="{06253048-0B44-494A-9E70-43F5A1BAC731}" name="Valor total" totalsRowFunction="sum" dataDxfId="41" totalsRowDxfId="40">
      <calculatedColumnFormula>F22*E22</calculatedColumnFormula>
    </tableColumn>
    <tableColumn id="7" xr3:uid="{6EBA6FB5-0E09-4780-A2C2-FB8F3C87FDFB}" name="Custo spazio" totalsRowFunction="sum" dataDxfId="39" totalsRowDxfId="38"/>
    <tableColumn id="8" xr3:uid="{757C378F-6DFE-4A34-A79F-71309D3E1563}" name="Link" dataDxfId="37"/>
    <tableColumn id="9" xr3:uid="{060B5ACD-E851-49AD-A086-CFF189F0E38B}" name="Coluna2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57BB5A9-A77C-447B-8464-2AD8E3ECEE34}" name="Rede_Minimo8101123" displayName="Rede_Minimo8101123" ref="B29:J34" totalsRowCount="1">
  <autoFilter ref="B29:J33" xr:uid="{957BB5A9-A77C-447B-8464-2AD8E3ECEE34}"/>
  <tableColumns count="9">
    <tableColumn id="1" xr3:uid="{D6D59B94-9AFF-4422-908B-123F436F4BFD}" name="Equipamento" totalsRowLabel="Total"/>
    <tableColumn id="2" xr3:uid="{CBB2FF0D-46E2-45B4-9F95-B4018B545C5C}" name="Item Spazio"/>
    <tableColumn id="3" xr3:uid="{A6CB764A-4627-4749-B008-38139B69739D}" name="Substitui"/>
    <tableColumn id="4" xr3:uid="{9FF83B33-F075-43BF-82BE-05B8668EC8BD}" name="Qt"/>
    <tableColumn id="5" xr3:uid="{67DD861A-2897-4445-9623-71C79DBA3B5F}" name="Valor" dataDxfId="36"/>
    <tableColumn id="6" xr3:uid="{7C30C741-476D-40EF-AA76-0774A6105D67}" name="Valor total" totalsRowFunction="sum" dataDxfId="35" totalsRowDxfId="34">
      <calculatedColumnFormula>F30*E30</calculatedColumnFormula>
    </tableColumn>
    <tableColumn id="7" xr3:uid="{E57870ED-6C75-406A-8587-C45FA1963D06}" name="Custo spazio" totalsRowFunction="sum" dataDxfId="33" totalsRowDxfId="32"/>
    <tableColumn id="8" xr3:uid="{BD5C18D8-6213-4AB0-B635-D734C31A8F10}" name="Link" dataDxfId="31"/>
    <tableColumn id="9" xr3:uid="{09281898-60CF-48C0-98F2-D3743BDD6ED8}" name="Obs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9B4A8DB-5569-477B-8354-E978CFD1477A}" name="Rede_Minimo810121424" displayName="Rede_Minimo810121424" ref="B37:J42" totalsRowCount="1">
  <autoFilter ref="B37:J41" xr:uid="{A9B4A8DB-5569-477B-8354-E978CFD1477A}"/>
  <tableColumns count="9">
    <tableColumn id="1" xr3:uid="{918EB523-6CF7-45DA-B76F-4D637413825A}" name="Equipamento" totalsRowLabel="Total"/>
    <tableColumn id="2" xr3:uid="{8942149D-B18B-4D97-9A4B-E3B4FAC4C71B}" name="Item Spazio"/>
    <tableColumn id="3" xr3:uid="{2596AB64-56EE-43F4-A33C-B2B4EBB8825C}" name="Substitui"/>
    <tableColumn id="4" xr3:uid="{D15E290F-1543-4BA4-94B3-9EDE64F4BA6F}" name="Qt"/>
    <tableColumn id="5" xr3:uid="{BFE3007A-8228-493E-B013-1334EBD2B614}" name="Valor" dataDxfId="30"/>
    <tableColumn id="6" xr3:uid="{4031FC1D-3DDB-495E-B560-E46A88F19F43}" name="Valor total" totalsRowFunction="sum" dataDxfId="29" totalsRowDxfId="28">
      <calculatedColumnFormula>F38*E38</calculatedColumnFormula>
    </tableColumn>
    <tableColumn id="7" xr3:uid="{D45EE64B-86F1-4CAA-9A23-C3DC6A554387}" name="Custo spazio" totalsRowFunction="sum" dataDxfId="27" totalsRowDxfId="26"/>
    <tableColumn id="8" xr3:uid="{D78041F4-3A15-41C8-80B4-B79819C6CFAB}" name="Link" dataDxfId="25"/>
    <tableColumn id="9" xr3:uid="{6CC7BAD2-DF2D-4BC2-82B3-8769D2CEC74B}" name="Obs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D58FA67-9FBF-47BC-BB29-924FB0D02813}" name="Rede_Minimo81012131525" displayName="Rede_Minimo81012131525" ref="B46:J51" totalsRowCount="1">
  <autoFilter ref="B46:J50" xr:uid="{4D58FA67-9FBF-47BC-BB29-924FB0D02813}"/>
  <tableColumns count="9">
    <tableColumn id="1" xr3:uid="{83454760-04CA-4116-A403-4970B94A4EC9}" name="Equipamento" totalsRowLabel="Total"/>
    <tableColumn id="2" xr3:uid="{F54B2C7C-7096-4735-A64F-13B421FA199D}" name="Item Spazio"/>
    <tableColumn id="3" xr3:uid="{6D825242-357B-4E13-BF6C-27F093ED2526}" name="Substitui"/>
    <tableColumn id="4" xr3:uid="{30F89C8F-EFCF-4E75-8E7E-C7607B991F44}" name="Qt"/>
    <tableColumn id="5" xr3:uid="{735BEB91-33C1-4B01-8D60-5C1E7CE17AED}" name="Valor" dataDxfId="24"/>
    <tableColumn id="6" xr3:uid="{B76A04EA-E82E-406A-9BE7-942707C45DA3}" name="Valor total" totalsRowFunction="sum" dataDxfId="23" totalsRowDxfId="22">
      <calculatedColumnFormula>F47*E47</calculatedColumnFormula>
    </tableColumn>
    <tableColumn id="7" xr3:uid="{1C2E497D-958C-47A3-A0F7-AFC61420550D}" name="Custo spazio" totalsRowFunction="sum" dataDxfId="21" totalsRowDxfId="20"/>
    <tableColumn id="8" xr3:uid="{4391C2A3-57E8-4B9E-A72A-D36B025779A5}" name="Link" dataDxfId="19"/>
    <tableColumn id="9" xr3:uid="{4B31196F-C382-4DF4-BFFB-A36C1B7214FF}" name="Obs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5777A03-B288-46E7-A299-9E0C3507AA68}" name="Rede_Minimo8101213161726" displayName="Rede_Minimo8101213161726" ref="B55:I60" totalsRowCount="1">
  <autoFilter ref="B55:I59" xr:uid="{45777A03-B288-46E7-A299-9E0C3507AA68}"/>
  <tableColumns count="8">
    <tableColumn id="1" xr3:uid="{5E9DD80F-A2F2-4C9B-9E24-615CF3EF5E4D}" name="Equipamento" totalsRowLabel="Total"/>
    <tableColumn id="2" xr3:uid="{D823C559-7AB6-4666-9854-4B99412BABFA}" name="Item Spazio"/>
    <tableColumn id="3" xr3:uid="{C89C5587-FCED-455B-BF0C-6C38C22F5AA7}" name="Substitui"/>
    <tableColumn id="4" xr3:uid="{199F6D56-503B-4A4A-B8C5-9E800E3A55EC}" name="Qt"/>
    <tableColumn id="5" xr3:uid="{7023250C-0397-4498-B4EA-8DF8C35EE3A6}" name="Valor" dataDxfId="18"/>
    <tableColumn id="6" xr3:uid="{45FD6A92-5BEB-4BCE-B8FA-E611947896DD}" name="Valor total" totalsRowFunction="sum" dataDxfId="17" totalsRowDxfId="16">
      <calculatedColumnFormula>F56*E56</calculatedColumnFormula>
    </tableColumn>
    <tableColumn id="7" xr3:uid="{5B9EC9B7-6F4D-4383-82A0-D8B211E5963B}" name="Custo spazio" totalsRowFunction="sum" dataDxfId="15" totalsRowDxfId="14"/>
    <tableColumn id="8" xr3:uid="{F2A9DE0F-6A92-42CE-A1A1-1E4ACCDC02A5}" name="Link" dataDxfId="13"/>
  </tableColumns>
  <tableStyleInfo name="TableStyleLight1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CDE424F-158C-4533-87A6-F74A2EC68253}" name="Rede_Minimo810121316181927" displayName="Rede_Minimo810121316181927" ref="B64:I69" totalsRowCount="1">
  <autoFilter ref="B64:I68" xr:uid="{ECDE424F-158C-4533-87A6-F74A2EC68253}"/>
  <tableColumns count="8">
    <tableColumn id="1" xr3:uid="{DE73A49B-4B04-4478-84C0-F7B3210769B1}" name="Equipamento" totalsRowLabel="Total"/>
    <tableColumn id="2" xr3:uid="{EF58ACCA-12D0-41FB-890A-13943948DF6A}" name="Item Spazio"/>
    <tableColumn id="3" xr3:uid="{CFAF048C-4BE0-4EAA-9A17-C85978006DCA}" name="Substitui"/>
    <tableColumn id="4" xr3:uid="{5FDF282F-851B-428F-8197-D99827F572A8}" name="Qt"/>
    <tableColumn id="5" xr3:uid="{53CBCC20-60E7-44AE-A29B-40927D7ED06B}" name="Valor" dataDxfId="12"/>
    <tableColumn id="6" xr3:uid="{9B49D54B-A484-426E-A52A-F4016B918EE6}" name="Valor total" totalsRowFunction="sum" dataDxfId="11" totalsRowDxfId="10">
      <calculatedColumnFormula>F65*E65</calculatedColumnFormula>
    </tableColumn>
    <tableColumn id="7" xr3:uid="{8A2CC89A-9F39-4BDA-81E0-C56739107E14}" name="Custo spazio" totalsRowFunction="sum" dataDxfId="9" totalsRowDxfId="8"/>
    <tableColumn id="8" xr3:uid="{F302F731-FA09-4ABE-98D5-D9C7201825C8}" name="Link" dataDxfId="7"/>
  </tableColumns>
  <tableStyleInfo name="TableStyleLight1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873948-5367-4BEE-B9D5-EA916BC7F602}" name="Tabela3" displayName="Tabela3" ref="B2:F4" totalsRowShown="0" headerRowDxfId="1" dataDxfId="0">
  <autoFilter ref="B2:F4" xr:uid="{D7873948-5367-4BEE-B9D5-EA916BC7F602}"/>
  <tableColumns count="5">
    <tableColumn id="1" xr3:uid="{6E285C85-FA8D-4D89-BE25-D0F35DA54260}" name="Data" dataDxfId="6"/>
    <tableColumn id="2" xr3:uid="{80FF5ADC-EF53-4C27-B034-67192FB9A505}" name="Fornecedor" dataDxfId="5"/>
    <tableColumn id="3" xr3:uid="{DABEF926-DEBA-4D5C-9139-196AE426B54E}" name="Produto" dataDxfId="4"/>
    <tableColumn id="4" xr3:uid="{542842C4-5A9F-4133-88E0-A63F64C40C0E}" name="Valor" dataDxfId="3"/>
    <tableColumn id="5" xr3:uid="{666CB084-28AE-463C-BDC1-AA2DE80A236B}" name="Quem pagou?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rinterSettings" Target="../printerSettings/printerSettings1.bin"/><Relationship Id="rId7" Type="http://schemas.openxmlformats.org/officeDocument/2006/relationships/table" Target="../tables/table4.xml"/><Relationship Id="rId2" Type="http://schemas.openxmlformats.org/officeDocument/2006/relationships/hyperlink" Target="https://pt.aliexpress.com/item/1005003123347295.html?spm=a2g0o.productlist.main.3.16cb57ebYfUiKf&amp;algo_pvid=6b664e41-df60-415b-8526-1938216df176&amp;algo_exp_id=6b664e41-df60-415b-8526-1938216df176-1&amp;pdp_npi=4%40dis%21BRL%21165.38%21109.15%21%21%2126.03%2117.18%21%40210313e917343577423101471e9b28%2112000024257381198%21sea%21BR%21133207410%21X&amp;curPageLogUid=0sVZ8e77lKMh&amp;utparam-url=scene%3Asearch%7Cquery_from%3A" TargetMode="External"/><Relationship Id="rId1" Type="http://schemas.openxmlformats.org/officeDocument/2006/relationships/hyperlink" Target="https://pt.aliexpress.com/item/1005006034155491.html?spm=a2g0o.productlist.main.7.5c0d4e97qb7Zvw&amp;algo_pvid=227a205a-9506-455d-95d6-b9feec3176c6&amp;aem_p4p_detail=202412160555333614392235510520004078271&amp;algo_exp_id=227a205a-9506-455d-95d6-b9feec3176c6-3&amp;pdp_npi=4%40dis%21BRL%21235.47%21122.44%21%21%21270.16%21140.48%21%402101c5b117343573333041234e0472%2112000035421704002%21sea%21BR%21133207410%21X&amp;curPageLogUid=RlKLBwG9ajdq&amp;utparam-url=scene%3Asearch%7Cquery_from%3A&amp;search_p4p_id=202412160555333614392235510520004078271_1" TargetMode="External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hyperlink" Target="https://pt.aliexpress.com/item/1005006034155491.html?spm=a2g0o.productlist.main.7.5c0d4e97qb7Zvw&amp;algo_pvid=227a205a-9506-455d-95d6-b9feec3176c6&amp;aem_p4p_detail=202412160555333614392235510520004078271&amp;algo_exp_id=227a205a-9506-455d-95d6-b9feec3176c6-3&amp;pdp_npi=4%40dis%21BRL%21235.47%21122.44%21%21%21270.16%21140.48%21%402101c5b117343573333041234e0472%2112000035421704002%21sea%21BR%21133207410%21X&amp;curPageLogUid=RlKLBwG9ajdq&amp;utparam-url=scene%3Asearch%7Cquery_from%3A&amp;search_p4p_id=202412160555333614392235510520004078271_1" TargetMode="External"/><Relationship Id="rId7" Type="http://schemas.openxmlformats.org/officeDocument/2006/relationships/table" Target="../tables/table11.xml"/><Relationship Id="rId12" Type="http://schemas.openxmlformats.org/officeDocument/2006/relationships/table" Target="../tables/table16.xml"/><Relationship Id="rId2" Type="http://schemas.openxmlformats.org/officeDocument/2006/relationships/hyperlink" Target="https://www.mercadolivre.com.br/patch-panel-cat6-24p-linkeo-legrand-632841/p/MLB27121973" TargetMode="External"/><Relationship Id="rId1" Type="http://schemas.openxmlformats.org/officeDocument/2006/relationships/hyperlink" Target="https://br.store.ui.com/br/pt/category/all-switching/products/usw-24" TargetMode="External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hyperlink" Target="https://pt.aliexpress.com/item/1005003123347295.html?spm=a2g0o.productlist.main.3.16cb57ebYfUiKf&amp;algo_pvid=6b664e41-df60-415b-8526-1938216df176&amp;algo_exp_id=6b664e41-df60-415b-8526-1938216df176-1&amp;pdp_npi=4%40dis%21BRL%21165.38%21109.15%21%21%2126.03%2117.18%21%40210313e917343577423101471e9b28%2112000024257381198%21sea%21BR%21133207410%21X&amp;curPageLogUid=0sVZ8e77lKMh&amp;utparam-url=scene%3Asearch%7Cquery_from%3A" TargetMode="External"/><Relationship Id="rId9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hyperlink" Target="https://www.mercadolivre.com.br/patch-panel-cat6-24p-linkeo-legrand-632841/p/MLB27121973" TargetMode="External"/><Relationship Id="rId7" Type="http://schemas.openxmlformats.org/officeDocument/2006/relationships/table" Target="../tables/table20.xml"/><Relationship Id="rId2" Type="http://schemas.openxmlformats.org/officeDocument/2006/relationships/hyperlink" Target="https://pt.aliexpress.com/item/1005003123347295.html?spm=a2g0o.productlist.main.3.16cb57ebYfUiKf&amp;algo_pvid=6b664e41-df60-415b-8526-1938216df176&amp;algo_exp_id=6b664e41-df60-415b-8526-1938216df176-1&amp;pdp_npi=4%40dis%21BRL%21165.38%21109.15%21%21%2126.03%2117.18%21%40210313e917343577423101471e9b28%2112000024257381198%21sea%21BR%21133207410%21X&amp;curPageLogUid=0sVZ8e77lKMh&amp;utparam-url=scene%3Asearch%7Cquery_from%3A" TargetMode="External"/><Relationship Id="rId1" Type="http://schemas.openxmlformats.org/officeDocument/2006/relationships/hyperlink" Target="https://pt.aliexpress.com/item/1005006034155491.html?spm=a2g0o.productlist.main.7.5c0d4e97qb7Zvw&amp;algo_pvid=227a205a-9506-455d-95d6-b9feec3176c6&amp;aem_p4p_detail=202412160555333614392235510520004078271&amp;algo_exp_id=227a205a-9506-455d-95d6-b9feec3176c6-3&amp;pdp_npi=4%40dis%21BRL%21235.47%21122.44%21%21%21270.16%21140.48%21%402101c5b117343573333041234e0472%2112000035421704002%21sea%21BR%21133207410%21X&amp;curPageLogUid=RlKLBwG9ajdq&amp;utparam-url=scene%3Asearch%7Cquery_from%3A&amp;search_p4p_id=202412160555333614392235510520004078271_1" TargetMode="External"/><Relationship Id="rId6" Type="http://schemas.openxmlformats.org/officeDocument/2006/relationships/table" Target="../tables/table19.xml"/><Relationship Id="rId11" Type="http://schemas.openxmlformats.org/officeDocument/2006/relationships/table" Target="../tables/table24.xml"/><Relationship Id="rId5" Type="http://schemas.openxmlformats.org/officeDocument/2006/relationships/table" Target="../tables/table1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77B0-4B90-4071-BBE4-0820A0E058D1}">
  <dimension ref="B1:S77"/>
  <sheetViews>
    <sheetView workbookViewId="0">
      <selection activeCell="G76" sqref="G76"/>
    </sheetView>
  </sheetViews>
  <sheetFormatPr defaultRowHeight="15" x14ac:dyDescent="0.25"/>
  <cols>
    <col min="2" max="2" width="24.28515625" bestFit="1" customWidth="1"/>
    <col min="3" max="3" width="13.42578125" customWidth="1"/>
    <col min="4" max="4" width="18.7109375" bestFit="1" customWidth="1"/>
    <col min="5" max="5" width="18.7109375" customWidth="1"/>
    <col min="6" max="6" width="11.85546875" customWidth="1"/>
    <col min="7" max="7" width="12.42578125" customWidth="1"/>
    <col min="8" max="8" width="13" style="2" customWidth="1"/>
    <col min="9" max="11" width="12" customWidth="1"/>
    <col min="13" max="13" width="15.42578125" bestFit="1" customWidth="1"/>
    <col min="14" max="14" width="13.42578125" customWidth="1"/>
    <col min="15" max="15" width="18.7109375" bestFit="1" customWidth="1"/>
    <col min="16" max="16" width="18.7109375" customWidth="1"/>
    <col min="17" max="17" width="11.85546875" customWidth="1"/>
    <col min="18" max="18" width="12.42578125" customWidth="1"/>
    <col min="19" max="19" width="13" style="2" customWidth="1"/>
    <col min="21" max="21" width="57" customWidth="1"/>
  </cols>
  <sheetData>
    <row r="1" spans="2:12" x14ac:dyDescent="0.25">
      <c r="B1" s="18" t="s">
        <v>4</v>
      </c>
      <c r="C1" s="18"/>
      <c r="D1" s="18"/>
      <c r="E1" s="18"/>
      <c r="F1" s="18"/>
      <c r="G1" s="1"/>
      <c r="H1" s="1"/>
      <c r="I1" s="1"/>
      <c r="J1" s="1"/>
      <c r="K1" s="1"/>
    </row>
    <row r="2" spans="2:12" x14ac:dyDescent="0.25">
      <c r="B2" s="17" t="s">
        <v>45</v>
      </c>
      <c r="C2" s="17"/>
      <c r="D2" s="17"/>
      <c r="E2" s="17"/>
      <c r="F2" s="17"/>
      <c r="G2" s="17"/>
      <c r="H2" s="17"/>
      <c r="I2" s="17"/>
      <c r="J2" s="5"/>
      <c r="K2" s="5"/>
      <c r="L2" s="6"/>
    </row>
    <row r="3" spans="2:12" x14ac:dyDescent="0.25">
      <c r="B3" t="s">
        <v>0</v>
      </c>
      <c r="C3" t="s">
        <v>1</v>
      </c>
      <c r="D3" t="s">
        <v>2</v>
      </c>
      <c r="E3" t="s">
        <v>36</v>
      </c>
      <c r="F3" t="s">
        <v>37</v>
      </c>
      <c r="G3" t="s">
        <v>38</v>
      </c>
      <c r="H3" t="s">
        <v>50</v>
      </c>
      <c r="I3" t="s">
        <v>6</v>
      </c>
      <c r="J3" t="s">
        <v>75</v>
      </c>
    </row>
    <row r="4" spans="2:12" x14ac:dyDescent="0.25">
      <c r="B4" t="s">
        <v>9</v>
      </c>
      <c r="C4">
        <v>1</v>
      </c>
      <c r="D4" t="s">
        <v>5</v>
      </c>
      <c r="E4">
        <v>1</v>
      </c>
      <c r="F4" s="7">
        <f>631.25+432.86</f>
        <v>1064.1100000000001</v>
      </c>
      <c r="G4" s="7">
        <f>F4*E4</f>
        <v>1064.1100000000001</v>
      </c>
      <c r="H4" s="7">
        <v>17852.52</v>
      </c>
      <c r="I4" s="2" t="s">
        <v>7</v>
      </c>
      <c r="J4" s="8">
        <f>Tabela6[[#This Row],[Valor total]]</f>
        <v>1064.1100000000001</v>
      </c>
      <c r="K4" s="8"/>
    </row>
    <row r="5" spans="2:12" x14ac:dyDescent="0.25">
      <c r="B5" t="s">
        <v>43</v>
      </c>
      <c r="G5" s="7">
        <f>SUBTOTAL(109,Tabela6[Valor total])</f>
        <v>1064.1100000000001</v>
      </c>
      <c r="H5" s="7">
        <f>SUBTOTAL(109,Tabela6[Custo spazio])</f>
        <v>17852.52</v>
      </c>
      <c r="I5" s="2">
        <f>SUBTOTAL(103,Tabela6[Link])</f>
        <v>1</v>
      </c>
      <c r="J5" s="7">
        <f>SUBTOTAL(109,Tabela6[Toni])</f>
        <v>1064.1100000000001</v>
      </c>
      <c r="K5" s="2"/>
    </row>
    <row r="7" spans="2:12" x14ac:dyDescent="0.25">
      <c r="G7" s="7"/>
    </row>
    <row r="9" spans="2:12" x14ac:dyDescent="0.25">
      <c r="B9" s="17" t="s">
        <v>42</v>
      </c>
      <c r="C9" s="17"/>
      <c r="D9" s="17"/>
      <c r="E9" s="17"/>
      <c r="F9" s="17"/>
      <c r="G9" s="17"/>
      <c r="H9" s="17"/>
    </row>
    <row r="10" spans="2:12" x14ac:dyDescent="0.25">
      <c r="B10" t="s">
        <v>0</v>
      </c>
      <c r="C10" t="s">
        <v>1</v>
      </c>
      <c r="D10" t="s">
        <v>32</v>
      </c>
      <c r="E10" t="s">
        <v>36</v>
      </c>
      <c r="F10" t="s">
        <v>3</v>
      </c>
      <c r="G10" t="s">
        <v>38</v>
      </c>
      <c r="H10" t="s">
        <v>50</v>
      </c>
      <c r="I10" t="s">
        <v>6</v>
      </c>
      <c r="J10" t="s">
        <v>75</v>
      </c>
    </row>
    <row r="11" spans="2:12" x14ac:dyDescent="0.25">
      <c r="B11" t="s">
        <v>10</v>
      </c>
      <c r="C11">
        <v>2</v>
      </c>
      <c r="D11" t="s">
        <v>11</v>
      </c>
      <c r="E11">
        <v>1</v>
      </c>
      <c r="F11" s="7">
        <v>486</v>
      </c>
      <c r="G11" s="7">
        <f>F11*E11</f>
        <v>486</v>
      </c>
      <c r="H11" s="7">
        <v>1694.56</v>
      </c>
      <c r="I11" s="2" t="s">
        <v>12</v>
      </c>
      <c r="J11" s="7">
        <f>Rede_Minimo[[#This Row],[Valor total]]</f>
        <v>486</v>
      </c>
      <c r="K11" s="8"/>
    </row>
    <row r="12" spans="2:12" x14ac:dyDescent="0.25">
      <c r="B12" t="s">
        <v>15</v>
      </c>
      <c r="C12">
        <v>3</v>
      </c>
      <c r="D12" t="s">
        <v>16</v>
      </c>
      <c r="E12">
        <v>1</v>
      </c>
      <c r="F12" s="7">
        <v>789</v>
      </c>
      <c r="G12" s="7">
        <f>F12*E12</f>
        <v>789</v>
      </c>
      <c r="H12" s="7">
        <v>1528.74</v>
      </c>
      <c r="I12" s="2" t="s">
        <v>17</v>
      </c>
      <c r="J12" s="7"/>
    </row>
    <row r="13" spans="2:12" x14ac:dyDescent="0.25">
      <c r="B13" t="s">
        <v>22</v>
      </c>
      <c r="C13">
        <v>4</v>
      </c>
      <c r="D13" t="s">
        <v>23</v>
      </c>
      <c r="E13">
        <v>3</v>
      </c>
      <c r="F13" s="7">
        <v>789</v>
      </c>
      <c r="G13" s="7">
        <f>F13*E13</f>
        <v>2367</v>
      </c>
      <c r="H13" s="7">
        <v>4712.6099999999997</v>
      </c>
      <c r="I13" s="2" t="s">
        <v>24</v>
      </c>
      <c r="J13" s="7">
        <f>Rede_Minimo[[#This Row],[Valor total]]</f>
        <v>2367</v>
      </c>
      <c r="K13" s="8"/>
    </row>
    <row r="14" spans="2:12" x14ac:dyDescent="0.25">
      <c r="C14">
        <v>5</v>
      </c>
      <c r="D14" t="s">
        <v>51</v>
      </c>
      <c r="F14" s="7"/>
      <c r="G14" s="7"/>
      <c r="H14" s="8">
        <v>1437.6</v>
      </c>
      <c r="I14" s="2"/>
      <c r="J14" s="7"/>
    </row>
    <row r="15" spans="2:12" x14ac:dyDescent="0.25">
      <c r="C15">
        <v>6</v>
      </c>
      <c r="D15" t="s">
        <v>52</v>
      </c>
      <c r="F15" s="7"/>
      <c r="G15" s="7"/>
      <c r="H15" s="8">
        <v>586.30999999999995</v>
      </c>
      <c r="I15" s="2"/>
      <c r="J15" s="7"/>
    </row>
    <row r="16" spans="2:12" x14ac:dyDescent="0.25">
      <c r="B16" t="s">
        <v>39</v>
      </c>
      <c r="C16">
        <v>7</v>
      </c>
      <c r="D16" t="s">
        <v>39</v>
      </c>
      <c r="E16">
        <v>1</v>
      </c>
      <c r="F16" s="7">
        <v>937</v>
      </c>
      <c r="G16" s="7">
        <f>F16*E16</f>
        <v>937</v>
      </c>
      <c r="H16" s="7">
        <v>1738.27</v>
      </c>
      <c r="I16" s="2" t="s">
        <v>40</v>
      </c>
      <c r="J16" s="7">
        <f>Rede_Minimo[[#This Row],[Valor total]]</f>
        <v>937</v>
      </c>
      <c r="K16" s="8"/>
    </row>
    <row r="17" spans="2:10" x14ac:dyDescent="0.25">
      <c r="B17" t="s">
        <v>43</v>
      </c>
      <c r="G17" s="7">
        <f>SUBTOTAL(109,Rede_Minimo[Valor total])</f>
        <v>4579</v>
      </c>
      <c r="H17" s="7">
        <f>SUBTOTAL(109,Rede_Minimo[Custo spazio])</f>
        <v>11698.09</v>
      </c>
      <c r="I17" s="2"/>
      <c r="J17" s="7">
        <f>SUBTOTAL(109,Rede_Minimo[Toni])</f>
        <v>3790</v>
      </c>
    </row>
    <row r="18" spans="2:10" x14ac:dyDescent="0.25">
      <c r="F18" s="7"/>
      <c r="G18" s="7"/>
      <c r="H18" s="8"/>
      <c r="I18" s="2"/>
    </row>
    <row r="20" spans="2:10" x14ac:dyDescent="0.25">
      <c r="B20" s="17" t="s">
        <v>46</v>
      </c>
      <c r="C20" s="17"/>
      <c r="D20" s="17"/>
      <c r="E20" s="17"/>
      <c r="F20" s="17"/>
      <c r="G20" s="17"/>
      <c r="H20" s="17"/>
    </row>
    <row r="21" spans="2:10" x14ac:dyDescent="0.25">
      <c r="B21" t="s">
        <v>0</v>
      </c>
      <c r="C21" t="s">
        <v>1</v>
      </c>
      <c r="D21" t="s">
        <v>32</v>
      </c>
      <c r="E21" t="s">
        <v>36</v>
      </c>
      <c r="F21" t="s">
        <v>3</v>
      </c>
      <c r="G21" t="s">
        <v>38</v>
      </c>
      <c r="H21" t="s">
        <v>50</v>
      </c>
      <c r="I21" t="s">
        <v>6</v>
      </c>
      <c r="J21" t="s">
        <v>75</v>
      </c>
    </row>
    <row r="22" spans="2:10" x14ac:dyDescent="0.25">
      <c r="C22">
        <v>8</v>
      </c>
      <c r="D22" t="s">
        <v>53</v>
      </c>
      <c r="F22" s="7"/>
      <c r="G22" s="7">
        <f>F22*E22</f>
        <v>0</v>
      </c>
      <c r="H22" s="8">
        <v>6859.12</v>
      </c>
      <c r="I22" s="2"/>
      <c r="J22" s="7">
        <f>Quadro_Eletrico_Minimo[[#This Row],[Valor total]]</f>
        <v>0</v>
      </c>
    </row>
    <row r="23" spans="2:10" x14ac:dyDescent="0.25">
      <c r="C23">
        <v>9</v>
      </c>
      <c r="D23" t="s">
        <v>54</v>
      </c>
      <c r="F23" s="7"/>
      <c r="G23" s="7">
        <f>F23*E23</f>
        <v>0</v>
      </c>
      <c r="H23" s="8">
        <v>2236.2600000000002</v>
      </c>
      <c r="I23" s="2"/>
      <c r="J23" s="7">
        <f>Quadro_Eletrico_Minimo[[#This Row],[Valor total]]</f>
        <v>0</v>
      </c>
    </row>
    <row r="24" spans="2:10" x14ac:dyDescent="0.25">
      <c r="B24" t="s">
        <v>49</v>
      </c>
      <c r="C24">
        <v>10</v>
      </c>
      <c r="D24" t="s">
        <v>49</v>
      </c>
      <c r="E24">
        <v>1</v>
      </c>
      <c r="F24" s="7">
        <v>1268.47</v>
      </c>
      <c r="G24" s="7">
        <f>F24*E24</f>
        <v>1268.47</v>
      </c>
      <c r="H24" s="8">
        <v>1268.47</v>
      </c>
      <c r="I24" s="2"/>
      <c r="J24" s="7">
        <f>Quadro_Eletrico_Minimo[[#This Row],[Valor total]]</f>
        <v>1268.47</v>
      </c>
    </row>
    <row r="25" spans="2:10" x14ac:dyDescent="0.25">
      <c r="B25" t="s">
        <v>47</v>
      </c>
      <c r="C25">
        <v>11</v>
      </c>
      <c r="D25" t="s">
        <v>47</v>
      </c>
      <c r="E25">
        <v>1</v>
      </c>
      <c r="F25" s="7">
        <v>1286</v>
      </c>
      <c r="G25" s="7">
        <f>F25*E25</f>
        <v>1286</v>
      </c>
      <c r="H25" s="8">
        <v>1629.6</v>
      </c>
      <c r="I25" s="2" t="s">
        <v>48</v>
      </c>
      <c r="J25" s="7">
        <f>Quadro_Eletrico_Minimo[[#This Row],[Valor total]]</f>
        <v>1286</v>
      </c>
    </row>
    <row r="26" spans="2:10" x14ac:dyDescent="0.25">
      <c r="B26" t="s">
        <v>43</v>
      </c>
      <c r="G26" s="7">
        <f>SUBTOTAL(109,Quadro_Eletrico_Minimo[Valor total])</f>
        <v>2554.4700000000003</v>
      </c>
      <c r="H26" s="8">
        <f>SUBTOTAL(109,Quadro_Eletrico_Minimo[Custo spazio])</f>
        <v>11993.45</v>
      </c>
      <c r="J26" s="7">
        <f>SUBTOTAL(109,Quadro_Eletrico_Minimo[Toni])</f>
        <v>2554.4700000000003</v>
      </c>
    </row>
    <row r="28" spans="2:10" x14ac:dyDescent="0.25">
      <c r="B28" s="17" t="s">
        <v>55</v>
      </c>
      <c r="C28" s="17"/>
      <c r="D28" s="17"/>
      <c r="E28" s="17"/>
      <c r="F28" s="17"/>
      <c r="G28" s="17"/>
      <c r="H28" s="17"/>
    </row>
    <row r="29" spans="2:10" x14ac:dyDescent="0.25">
      <c r="B29" t="s">
        <v>0</v>
      </c>
      <c r="C29" t="s">
        <v>1</v>
      </c>
      <c r="D29" t="s">
        <v>32</v>
      </c>
      <c r="E29" t="s">
        <v>36</v>
      </c>
      <c r="F29" t="s">
        <v>3</v>
      </c>
      <c r="G29" t="s">
        <v>38</v>
      </c>
      <c r="H29" t="s">
        <v>50</v>
      </c>
      <c r="I29" t="s">
        <v>6</v>
      </c>
      <c r="J29" t="s">
        <v>75</v>
      </c>
    </row>
    <row r="30" spans="2:10" x14ac:dyDescent="0.25">
      <c r="C30">
        <v>12</v>
      </c>
      <c r="D30" t="s">
        <v>57</v>
      </c>
      <c r="F30" s="7"/>
      <c r="G30" s="7">
        <f>F30*E30</f>
        <v>0</v>
      </c>
      <c r="H30" s="8">
        <v>14251.94</v>
      </c>
      <c r="I30" s="2"/>
      <c r="J30" s="7">
        <f>Iluminacao_Minimo[[#This Row],[Valor total]]</f>
        <v>0</v>
      </c>
    </row>
    <row r="31" spans="2:10" x14ac:dyDescent="0.25">
      <c r="B31" t="s">
        <v>59</v>
      </c>
      <c r="C31">
        <v>13</v>
      </c>
      <c r="D31" t="s">
        <v>58</v>
      </c>
      <c r="E31">
        <v>24</v>
      </c>
      <c r="F31" s="7">
        <v>187.24</v>
      </c>
      <c r="G31" s="7">
        <f>F31*E31</f>
        <v>4493.76</v>
      </c>
      <c r="H31" s="8">
        <v>14206.84</v>
      </c>
      <c r="I31" s="4" t="s">
        <v>60</v>
      </c>
      <c r="J31" s="7">
        <f>Iluminacao_Minimo[[#This Row],[Valor total]]</f>
        <v>4493.76</v>
      </c>
    </row>
    <row r="32" spans="2:10" x14ac:dyDescent="0.25">
      <c r="F32" s="7"/>
      <c r="G32" s="7"/>
      <c r="H32" s="8"/>
      <c r="I32" s="2"/>
      <c r="J32" s="7">
        <f>Iluminacao_Minimo[[#This Row],[Valor total]]</f>
        <v>0</v>
      </c>
    </row>
    <row r="33" spans="2:10" x14ac:dyDescent="0.25">
      <c r="F33" s="7"/>
      <c r="G33" s="7"/>
      <c r="H33" s="8"/>
      <c r="I33" s="2"/>
      <c r="J33" s="7">
        <f>Iluminacao_Minimo[[#This Row],[Valor total]]</f>
        <v>0</v>
      </c>
    </row>
    <row r="34" spans="2:10" x14ac:dyDescent="0.25">
      <c r="B34" t="s">
        <v>43</v>
      </c>
      <c r="G34" s="7">
        <f>SUBTOTAL(109,Iluminacao_Minimo[Valor total])</f>
        <v>4493.76</v>
      </c>
      <c r="H34" s="8">
        <f>SUBTOTAL(109,Iluminacao_Minimo[Custo spazio])</f>
        <v>28458.78</v>
      </c>
      <c r="J34" s="7">
        <f>SUBTOTAL(109,Iluminacao_Minimo[Toni])</f>
        <v>4493.76</v>
      </c>
    </row>
    <row r="36" spans="2:10" x14ac:dyDescent="0.25">
      <c r="B36" s="17" t="s">
        <v>65</v>
      </c>
      <c r="C36" s="17"/>
      <c r="D36" s="17"/>
      <c r="E36" s="17"/>
      <c r="F36" s="17"/>
      <c r="G36" s="17"/>
      <c r="H36" s="17"/>
    </row>
    <row r="37" spans="2:10" x14ac:dyDescent="0.25">
      <c r="B37" t="s">
        <v>0</v>
      </c>
      <c r="C37" t="s">
        <v>1</v>
      </c>
      <c r="D37" t="s">
        <v>32</v>
      </c>
      <c r="E37" t="s">
        <v>36</v>
      </c>
      <c r="F37" t="s">
        <v>3</v>
      </c>
      <c r="G37" t="s">
        <v>38</v>
      </c>
      <c r="H37" t="s">
        <v>50</v>
      </c>
      <c r="I37" t="s">
        <v>6</v>
      </c>
      <c r="J37" t="s">
        <v>75</v>
      </c>
    </row>
    <row r="38" spans="2:10" x14ac:dyDescent="0.25">
      <c r="B38" t="s">
        <v>66</v>
      </c>
      <c r="C38">
        <v>14</v>
      </c>
      <c r="D38" t="s">
        <v>57</v>
      </c>
      <c r="E38">
        <v>18</v>
      </c>
      <c r="F38" s="7">
        <v>104.42</v>
      </c>
      <c r="G38" s="7">
        <f>F38*E38</f>
        <v>1879.56</v>
      </c>
      <c r="H38" s="8">
        <v>8016.72</v>
      </c>
      <c r="I38" s="2" t="s">
        <v>69</v>
      </c>
      <c r="J38" s="7">
        <f>Persianas_Minimo[[#This Row],[Valor total]]</f>
        <v>1879.56</v>
      </c>
    </row>
    <row r="39" spans="2:10" x14ac:dyDescent="0.25">
      <c r="F39" s="7"/>
      <c r="G39" s="7"/>
      <c r="H39" s="8"/>
      <c r="I39" s="4"/>
      <c r="J39" s="7">
        <f>Persianas_Minimo[[#This Row],[Valor total]]</f>
        <v>0</v>
      </c>
    </row>
    <row r="40" spans="2:10" x14ac:dyDescent="0.25">
      <c r="F40" s="7"/>
      <c r="G40" s="7"/>
      <c r="H40" s="8"/>
      <c r="I40" s="2"/>
      <c r="J40" s="7">
        <f>Persianas_Minimo[[#This Row],[Valor total]]</f>
        <v>0</v>
      </c>
    </row>
    <row r="41" spans="2:10" x14ac:dyDescent="0.25">
      <c r="F41" s="7"/>
      <c r="G41" s="7"/>
      <c r="H41" s="8"/>
      <c r="I41" s="2"/>
      <c r="J41" s="7">
        <f>Persianas_Minimo[[#This Row],[Valor total]]</f>
        <v>0</v>
      </c>
    </row>
    <row r="42" spans="2:10" x14ac:dyDescent="0.25">
      <c r="B42" t="s">
        <v>43</v>
      </c>
      <c r="G42" s="7">
        <f>SUBTOTAL(109,Persianas_Minimo[Valor total])</f>
        <v>1879.56</v>
      </c>
      <c r="H42" s="8">
        <f>SUBTOTAL(109,Persianas_Minimo[Custo spazio])</f>
        <v>8016.72</v>
      </c>
      <c r="J42" s="7">
        <f>SUBTOTAL(109,Persianas_Minimo[Toni])</f>
        <v>1879.56</v>
      </c>
    </row>
    <row r="45" spans="2:10" x14ac:dyDescent="0.25">
      <c r="B45" s="17" t="s">
        <v>67</v>
      </c>
      <c r="C45" s="17"/>
      <c r="D45" s="17"/>
      <c r="E45" s="17"/>
      <c r="F45" s="17"/>
      <c r="G45" s="17"/>
      <c r="H45" s="17"/>
    </row>
    <row r="46" spans="2:10" x14ac:dyDescent="0.25">
      <c r="B46" t="s">
        <v>0</v>
      </c>
      <c r="C46" t="s">
        <v>1</v>
      </c>
      <c r="D46" t="s">
        <v>32</v>
      </c>
      <c r="E46" t="s">
        <v>36</v>
      </c>
      <c r="F46" t="s">
        <v>3</v>
      </c>
      <c r="G46" t="s">
        <v>38</v>
      </c>
      <c r="H46" t="s">
        <v>50</v>
      </c>
      <c r="I46" t="s">
        <v>6</v>
      </c>
      <c r="J46" t="s">
        <v>75</v>
      </c>
    </row>
    <row r="47" spans="2:10" x14ac:dyDescent="0.25">
      <c r="B47" t="s">
        <v>64</v>
      </c>
      <c r="C47">
        <v>15</v>
      </c>
      <c r="D47" t="s">
        <v>68</v>
      </c>
      <c r="E47" s="10">
        <v>8</v>
      </c>
      <c r="F47" s="7">
        <v>193.15</v>
      </c>
      <c r="G47" s="7">
        <f>F47*E47</f>
        <v>1545.2</v>
      </c>
      <c r="H47" s="8">
        <v>4115.47</v>
      </c>
      <c r="I47" s="4" t="s">
        <v>70</v>
      </c>
    </row>
    <row r="48" spans="2:10" x14ac:dyDescent="0.25">
      <c r="F48" s="7"/>
      <c r="G48" s="7"/>
      <c r="H48" s="8"/>
      <c r="I48" s="4"/>
    </row>
    <row r="49" spans="2:10" x14ac:dyDescent="0.25">
      <c r="F49" s="7"/>
      <c r="G49" s="7"/>
      <c r="H49" s="8"/>
      <c r="I49" s="2"/>
    </row>
    <row r="50" spans="2:10" x14ac:dyDescent="0.25">
      <c r="F50" s="7"/>
      <c r="G50" s="7"/>
      <c r="H50" s="8"/>
      <c r="I50" s="2"/>
    </row>
    <row r="51" spans="2:10" x14ac:dyDescent="0.25">
      <c r="B51" t="s">
        <v>43</v>
      </c>
      <c r="G51" s="7">
        <f>SUBTOTAL(109,AC_Minimo[Valor total])</f>
        <v>1545.2</v>
      </c>
      <c r="H51" s="8">
        <f>SUBTOTAL(109,AC_Minimo[Custo spazio])</f>
        <v>4115.47</v>
      </c>
    </row>
    <row r="54" spans="2:10" x14ac:dyDescent="0.25">
      <c r="B54" s="17" t="s">
        <v>71</v>
      </c>
      <c r="C54" s="17"/>
      <c r="D54" s="17"/>
      <c r="E54" s="17"/>
      <c r="F54" s="17"/>
      <c r="G54" s="17"/>
      <c r="H54" s="17"/>
    </row>
    <row r="55" spans="2:10" x14ac:dyDescent="0.25">
      <c r="B55" t="s">
        <v>0</v>
      </c>
      <c r="C55" t="s">
        <v>1</v>
      </c>
      <c r="D55" t="s">
        <v>32</v>
      </c>
      <c r="E55" t="s">
        <v>36</v>
      </c>
      <c r="F55" t="s">
        <v>3</v>
      </c>
      <c r="G55" t="s">
        <v>38</v>
      </c>
      <c r="H55" t="s">
        <v>50</v>
      </c>
      <c r="I55" t="s">
        <v>6</v>
      </c>
      <c r="J55" t="s">
        <v>75</v>
      </c>
    </row>
    <row r="56" spans="2:10" x14ac:dyDescent="0.25">
      <c r="B56" t="s">
        <v>66</v>
      </c>
      <c r="C56">
        <v>16</v>
      </c>
      <c r="D56" t="s">
        <v>57</v>
      </c>
      <c r="E56">
        <v>4</v>
      </c>
      <c r="F56" s="7">
        <v>104.42</v>
      </c>
      <c r="G56" s="7">
        <f>F56*E56</f>
        <v>417.68</v>
      </c>
      <c r="H56" s="8">
        <v>1781.49</v>
      </c>
      <c r="I56" s="2" t="s">
        <v>69</v>
      </c>
    </row>
    <row r="57" spans="2:10" x14ac:dyDescent="0.25">
      <c r="F57" s="7"/>
      <c r="G57" s="7"/>
      <c r="H57" s="8"/>
      <c r="I57" s="4"/>
    </row>
    <row r="58" spans="2:10" x14ac:dyDescent="0.25">
      <c r="F58" s="7"/>
      <c r="G58" s="7"/>
      <c r="H58" s="8"/>
      <c r="I58" s="2"/>
    </row>
    <row r="59" spans="2:10" x14ac:dyDescent="0.25">
      <c r="F59" s="7"/>
      <c r="G59" s="7"/>
      <c r="H59" s="8"/>
      <c r="I59" s="2"/>
    </row>
    <row r="60" spans="2:10" x14ac:dyDescent="0.25">
      <c r="B60" t="s">
        <v>43</v>
      </c>
      <c r="G60" s="7">
        <f>SUBTOTAL(109,Sauna_Minimo[Valor total])</f>
        <v>417.68</v>
      </c>
      <c r="H60" s="8">
        <f>SUBTOTAL(109,Sauna_Minimo[Custo spazio])</f>
        <v>1781.49</v>
      </c>
    </row>
    <row r="63" spans="2:10" x14ac:dyDescent="0.25">
      <c r="B63" s="17" t="s">
        <v>72</v>
      </c>
      <c r="C63" s="17"/>
      <c r="D63" s="17"/>
      <c r="E63" s="17"/>
      <c r="F63" s="17"/>
      <c r="G63" s="17"/>
      <c r="H63" s="17"/>
    </row>
    <row r="64" spans="2:10" x14ac:dyDescent="0.25">
      <c r="B64" t="s">
        <v>0</v>
      </c>
      <c r="C64" t="s">
        <v>1</v>
      </c>
      <c r="D64" t="s">
        <v>32</v>
      </c>
      <c r="E64" t="s">
        <v>36</v>
      </c>
      <c r="F64" t="s">
        <v>3</v>
      </c>
      <c r="G64" t="s">
        <v>38</v>
      </c>
      <c r="H64" t="s">
        <v>50</v>
      </c>
      <c r="I64" t="s">
        <v>6</v>
      </c>
      <c r="J64" t="s">
        <v>75</v>
      </c>
    </row>
    <row r="65" spans="2:9" x14ac:dyDescent="0.25">
      <c r="B65" t="s">
        <v>66</v>
      </c>
      <c r="C65">
        <v>17</v>
      </c>
      <c r="D65" t="s">
        <v>57</v>
      </c>
      <c r="E65">
        <v>10</v>
      </c>
      <c r="F65" s="7">
        <v>104.42</v>
      </c>
      <c r="G65" s="7">
        <f>F65*E65</f>
        <v>1044.2</v>
      </c>
      <c r="H65" s="8">
        <v>4453.7299999999996</v>
      </c>
      <c r="I65" s="2" t="s">
        <v>69</v>
      </c>
    </row>
    <row r="66" spans="2:9" x14ac:dyDescent="0.25">
      <c r="F66" s="7"/>
      <c r="G66" s="7"/>
      <c r="H66" s="8"/>
      <c r="I66" s="4"/>
    </row>
    <row r="67" spans="2:9" x14ac:dyDescent="0.25">
      <c r="F67" s="7"/>
      <c r="G67" s="7"/>
      <c r="H67" s="8"/>
      <c r="I67" s="2"/>
    </row>
    <row r="68" spans="2:9" x14ac:dyDescent="0.25">
      <c r="F68" s="7"/>
      <c r="G68" s="7"/>
      <c r="H68" s="8"/>
      <c r="I68" s="2"/>
    </row>
    <row r="69" spans="2:9" x14ac:dyDescent="0.25">
      <c r="B69" t="s">
        <v>43</v>
      </c>
      <c r="G69" s="7">
        <f>SUBTOTAL(109,Piso_Minimo[Valor total])</f>
        <v>1044.2</v>
      </c>
      <c r="H69" s="8">
        <f>SUBTOTAL(109,Piso_Minimo[Custo spazio])</f>
        <v>4453.7299999999996</v>
      </c>
    </row>
    <row r="71" spans="2:9" x14ac:dyDescent="0.25">
      <c r="F71" s="13"/>
      <c r="G71" s="13" t="s">
        <v>75</v>
      </c>
      <c r="H71" s="13" t="s">
        <v>76</v>
      </c>
    </row>
    <row r="72" spans="2:9" x14ac:dyDescent="0.25">
      <c r="F72" s="13" t="s">
        <v>74</v>
      </c>
      <c r="G72" s="15">
        <f>Piso_Minimo[[#Totals],[Valor total]]+Sauna_Minimo[[#Totals],[Valor total]]+AC_Minimo[[#Totals],[Valor total]]+Persianas_Minimo[[#Totals],[Valor total]]+Iluminacao_Minimo[[#Totals],[Valor total]]+Quadro_Eletrico_Minimo[[#Totals],[Valor total]]+Rede_Minimo[[#Totals],[Valor total]]+Tabela6[[#Totals],[Valor total]]</f>
        <v>17577.98</v>
      </c>
      <c r="H72" s="15">
        <f>Piso_Minimo[[#Totals],[Custo spazio]]+Sauna_Minimo[[#Totals],[Custo spazio]]+AC_Minimo[[#Totals],[Custo spazio]]+Persianas_Minimo[[#Totals],[Custo spazio]]+Iluminacao_Minimo[[#Totals],[Custo spazio]]+Quadro_Eletrico_Minimo[[#Totals],[Custo spazio]]+Rede_Minimo[[#Totals],[Custo spazio]]+Tabela6[[#Totals],[Custo spazio]]</f>
        <v>88370.25</v>
      </c>
    </row>
    <row r="73" spans="2:9" x14ac:dyDescent="0.25">
      <c r="F73" s="14" t="s">
        <v>79</v>
      </c>
      <c r="G73" s="15">
        <f>Persianas_Minimo[[#Totals],[Toni]]+Iluminacao_Minimo[[#Totals],[Toni]]+Quadro_Eletrico_Minimo[[#Totals],[Toni]]+Rede_Minimo[[#Totals],[Toni]]+Tabela6[[#Totals],[Toni]]</f>
        <v>13781.900000000001</v>
      </c>
      <c r="H73" s="15">
        <f>Piso_Minimo[[#Totals],[Custo spazio]]+Sauna_Minimo[[#Totals],[Custo spazio]]+AC_Minimo[[#Totals],[Custo spazio]]+Persianas_Minimo[[#Totals],[Custo spazio]]+Iluminacao_Minimo[[#Totals],[Custo spazio]]+Quadro_Eletrico_Minimo[[#Totals],[Custo spazio]]+Rede_Minimo[[#Totals],[Custo spazio]]+Tabela6[[#Totals],[Custo spazio]]</f>
        <v>88370.25</v>
      </c>
    </row>
    <row r="74" spans="2:9" x14ac:dyDescent="0.25">
      <c r="F74" s="14"/>
      <c r="G74" s="15"/>
      <c r="H74" s="15"/>
    </row>
    <row r="75" spans="2:9" x14ac:dyDescent="0.25">
      <c r="F75" s="13" t="s">
        <v>77</v>
      </c>
      <c r="G75" s="15">
        <f>30000</f>
        <v>30000</v>
      </c>
      <c r="H75" s="15">
        <f>110000-H73</f>
        <v>21629.75</v>
      </c>
    </row>
    <row r="76" spans="2:9" x14ac:dyDescent="0.25">
      <c r="F76" s="13" t="s">
        <v>73</v>
      </c>
      <c r="G76" s="15">
        <f>G75+G73+G72</f>
        <v>61359.880000000005</v>
      </c>
      <c r="H76" s="15">
        <f>H75+H73</f>
        <v>110000</v>
      </c>
    </row>
    <row r="77" spans="2:9" x14ac:dyDescent="0.25">
      <c r="F77" s="13"/>
      <c r="G77" s="13"/>
      <c r="H77" s="13"/>
    </row>
  </sheetData>
  <mergeCells count="9">
    <mergeCell ref="B2:I2"/>
    <mergeCell ref="B36:H36"/>
    <mergeCell ref="B1:F1"/>
    <mergeCell ref="B9:H9"/>
    <mergeCell ref="B45:H45"/>
    <mergeCell ref="B54:H54"/>
    <mergeCell ref="B63:H63"/>
    <mergeCell ref="B20:H20"/>
    <mergeCell ref="B28:H28"/>
  </mergeCells>
  <phoneticPr fontId="3" type="noConversion"/>
  <hyperlinks>
    <hyperlink ref="I31" r:id="rId1" display="https://pt.aliexpress.com/item/1005006034155491.html?spm=a2g0o.productlist.main.7.5c0d4e97qb7Zvw&amp;algo_pvid=227a205a-9506-455d-95d6-b9feec3176c6&amp;aem_p4p_detail=202412160555333614392235510520004078271&amp;algo_exp_id=227a205a-9506-455d-95d6-b9feec3176c6-3&amp;pdp_npi=4%40dis%21BRL%21235.47%21122.44%21%21%21270.16%21140.48%21%402101c5b117343573333041234e0472%2112000035421704002%21sea%21BR%21133207410%21X&amp;curPageLogUid=RlKLBwG9ajdq&amp;utparam-url=scene%3Asearch%7Cquery_from%3A&amp;search_p4p_id=202412160555333614392235510520004078271_1" xr:uid="{3C7BDF83-108C-414E-981B-2BE45E6634D2}"/>
    <hyperlink ref="I47" r:id="rId2" display="https://pt.aliexpress.com/item/1005003123347295.html?spm=a2g0o.productlist.main.3.16cb57ebYfUiKf&amp;algo_pvid=6b664e41-df60-415b-8526-1938216df176&amp;algo_exp_id=6b664e41-df60-415b-8526-1938216df176-1&amp;pdp_npi=4%40dis%21BRL%21165.38%21109.15%21%21%2126.03%2117.18%21%40210313e917343577423101471e9b28%2112000024257381198%21sea%21BR%21133207410%21X&amp;curPageLogUid=0sVZ8e77lKMh&amp;utparam-url=scene%3Asearch%7Cquery_from%3A" xr:uid="{E3764A12-97B7-4F0C-B41B-343472F65233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3"/>
  <tableParts count="8"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C6C3-DB36-4E94-8EB6-BC2CB93EF2FB}">
  <dimension ref="B1:J75"/>
  <sheetViews>
    <sheetView topLeftCell="A43" workbookViewId="0">
      <selection activeCell="G75" sqref="G75"/>
    </sheetView>
  </sheetViews>
  <sheetFormatPr defaultRowHeight="15" x14ac:dyDescent="0.25"/>
  <cols>
    <col min="2" max="2" width="25.140625" bestFit="1" customWidth="1"/>
    <col min="3" max="3" width="13.5703125" bestFit="1" customWidth="1"/>
    <col min="4" max="4" width="25.140625" bestFit="1" customWidth="1"/>
    <col min="6" max="6" width="12" bestFit="1" customWidth="1"/>
    <col min="7" max="7" width="12.5703125" bestFit="1" customWidth="1"/>
    <col min="8" max="8" width="14.28515625" bestFit="1" customWidth="1"/>
  </cols>
  <sheetData>
    <row r="1" spans="2:10" x14ac:dyDescent="0.25">
      <c r="B1" s="18" t="s">
        <v>78</v>
      </c>
      <c r="C1" s="18"/>
      <c r="D1" s="18"/>
      <c r="E1" s="18"/>
      <c r="F1" s="18"/>
      <c r="G1" s="1"/>
    </row>
    <row r="2" spans="2:10" x14ac:dyDescent="0.25">
      <c r="B2" s="17" t="s">
        <v>45</v>
      </c>
      <c r="C2" s="17"/>
      <c r="D2" s="17"/>
      <c r="E2" s="17"/>
      <c r="F2" s="17"/>
      <c r="G2" s="17"/>
      <c r="H2" s="17"/>
    </row>
    <row r="3" spans="2:10" x14ac:dyDescent="0.25">
      <c r="B3" t="s">
        <v>0</v>
      </c>
      <c r="C3" t="s">
        <v>1</v>
      </c>
      <c r="D3" t="s">
        <v>2</v>
      </c>
      <c r="E3" t="s">
        <v>36</v>
      </c>
      <c r="F3" t="s">
        <v>37</v>
      </c>
      <c r="G3" t="s">
        <v>38</v>
      </c>
      <c r="H3" s="2" t="s">
        <v>56</v>
      </c>
      <c r="I3" t="s">
        <v>6</v>
      </c>
      <c r="J3" t="s">
        <v>20</v>
      </c>
    </row>
    <row r="4" spans="2:10" x14ac:dyDescent="0.25">
      <c r="B4" t="s">
        <v>8</v>
      </c>
      <c r="C4">
        <v>1</v>
      </c>
      <c r="D4" t="s">
        <v>5</v>
      </c>
      <c r="E4">
        <v>1</v>
      </c>
      <c r="F4" s="7">
        <f>978.4+754.93</f>
        <v>1733.33</v>
      </c>
      <c r="G4" s="7">
        <f>F4*E4</f>
        <v>1733.33</v>
      </c>
      <c r="H4" s="7">
        <v>17852.52</v>
      </c>
      <c r="I4" s="3" t="s">
        <v>7</v>
      </c>
      <c r="J4" t="s">
        <v>28</v>
      </c>
    </row>
    <row r="5" spans="2:10" x14ac:dyDescent="0.25">
      <c r="B5" t="s">
        <v>43</v>
      </c>
      <c r="F5" s="7"/>
      <c r="G5" s="7">
        <f>SUBTOTAL(109,Tabela4[Valor total])</f>
        <v>1733.33</v>
      </c>
      <c r="H5" s="9">
        <f>SUBTOTAL(109,Tabela4[Custo Spazio])</f>
        <v>17852.52</v>
      </c>
    </row>
    <row r="6" spans="2:10" x14ac:dyDescent="0.25">
      <c r="H6" s="3"/>
    </row>
    <row r="7" spans="2:10" x14ac:dyDescent="0.25">
      <c r="H7" s="3"/>
    </row>
    <row r="8" spans="2:10" x14ac:dyDescent="0.25">
      <c r="H8" s="3"/>
    </row>
    <row r="9" spans="2:10" x14ac:dyDescent="0.25">
      <c r="B9" s="17" t="s">
        <v>42</v>
      </c>
      <c r="C9" s="17"/>
      <c r="D9" s="17"/>
      <c r="E9" s="17"/>
      <c r="F9" s="17"/>
      <c r="G9" s="17"/>
      <c r="H9" s="17"/>
    </row>
    <row r="10" spans="2:10" x14ac:dyDescent="0.25">
      <c r="B10" t="s">
        <v>0</v>
      </c>
      <c r="C10" t="s">
        <v>1</v>
      </c>
      <c r="D10" t="s">
        <v>32</v>
      </c>
      <c r="E10" t="s">
        <v>36</v>
      </c>
      <c r="F10" t="s">
        <v>3</v>
      </c>
      <c r="G10" t="s">
        <v>38</v>
      </c>
      <c r="H10" s="2" t="s">
        <v>50</v>
      </c>
      <c r="I10" t="s">
        <v>6</v>
      </c>
      <c r="J10" t="s">
        <v>20</v>
      </c>
    </row>
    <row r="11" spans="2:10" x14ac:dyDescent="0.25">
      <c r="B11" t="s">
        <v>13</v>
      </c>
      <c r="C11">
        <v>2</v>
      </c>
      <c r="D11" t="s">
        <v>11</v>
      </c>
      <c r="E11">
        <v>1</v>
      </c>
      <c r="F11" s="7">
        <v>1699</v>
      </c>
      <c r="G11" s="7">
        <f t="shared" ref="G11:G16" si="0">F11*E11</f>
        <v>1699</v>
      </c>
      <c r="H11" s="7">
        <v>1694.56</v>
      </c>
      <c r="I11" s="4" t="s">
        <v>14</v>
      </c>
    </row>
    <row r="12" spans="2:10" x14ac:dyDescent="0.25">
      <c r="B12" t="s">
        <v>18</v>
      </c>
      <c r="C12">
        <v>3</v>
      </c>
      <c r="D12" t="s">
        <v>16</v>
      </c>
      <c r="E12">
        <v>1</v>
      </c>
      <c r="F12" s="7">
        <v>1828.99</v>
      </c>
      <c r="G12" s="7">
        <f t="shared" si="0"/>
        <v>1828.99</v>
      </c>
      <c r="H12" s="7">
        <v>1528.74</v>
      </c>
      <c r="I12" s="2" t="s">
        <v>19</v>
      </c>
      <c r="J12" t="s">
        <v>21</v>
      </c>
    </row>
    <row r="13" spans="2:10" x14ac:dyDescent="0.25">
      <c r="B13" t="s">
        <v>25</v>
      </c>
      <c r="C13">
        <v>4</v>
      </c>
      <c r="D13" t="s">
        <v>23</v>
      </c>
      <c r="E13">
        <v>3</v>
      </c>
      <c r="F13" s="7">
        <v>1499</v>
      </c>
      <c r="G13" s="7">
        <f t="shared" si="0"/>
        <v>4497</v>
      </c>
      <c r="H13" s="7">
        <v>4712.6099999999997</v>
      </c>
      <c r="I13" s="2" t="s">
        <v>26</v>
      </c>
      <c r="J13" t="s">
        <v>27</v>
      </c>
    </row>
    <row r="14" spans="2:10" x14ac:dyDescent="0.25">
      <c r="B14" t="s">
        <v>29</v>
      </c>
      <c r="C14">
        <v>5</v>
      </c>
      <c r="D14" t="s">
        <v>29</v>
      </c>
      <c r="E14">
        <v>1</v>
      </c>
      <c r="F14" s="7">
        <v>699</v>
      </c>
      <c r="G14" s="7">
        <f t="shared" si="0"/>
        <v>699</v>
      </c>
      <c r="H14" s="8">
        <v>1437.6</v>
      </c>
      <c r="I14" s="4" t="s">
        <v>30</v>
      </c>
      <c r="J14" t="s">
        <v>31</v>
      </c>
    </row>
    <row r="15" spans="2:10" x14ac:dyDescent="0.25">
      <c r="B15" t="s">
        <v>33</v>
      </c>
      <c r="C15">
        <v>6</v>
      </c>
      <c r="D15" t="s">
        <v>33</v>
      </c>
      <c r="E15">
        <v>24</v>
      </c>
      <c r="F15" s="7">
        <v>12.42</v>
      </c>
      <c r="G15" s="7">
        <f t="shared" si="0"/>
        <v>298.08</v>
      </c>
      <c r="H15" s="8">
        <v>586.30999999999995</v>
      </c>
      <c r="I15" s="2" t="s">
        <v>34</v>
      </c>
      <c r="J15" t="s">
        <v>35</v>
      </c>
    </row>
    <row r="16" spans="2:10" x14ac:dyDescent="0.25">
      <c r="B16" t="s">
        <v>39</v>
      </c>
      <c r="C16">
        <v>7</v>
      </c>
      <c r="D16" t="s">
        <v>39</v>
      </c>
      <c r="E16">
        <v>1</v>
      </c>
      <c r="F16" s="7">
        <v>937</v>
      </c>
      <c r="G16" s="7">
        <f t="shared" si="0"/>
        <v>937</v>
      </c>
      <c r="H16" s="7">
        <v>1738.27</v>
      </c>
      <c r="I16" s="2" t="s">
        <v>40</v>
      </c>
      <c r="J16" t="s">
        <v>41</v>
      </c>
    </row>
    <row r="17" spans="2:10" x14ac:dyDescent="0.25">
      <c r="B17" t="s">
        <v>43</v>
      </c>
      <c r="F17" s="7"/>
      <c r="G17" s="7">
        <f>SUBTOTAL(109,Rede_Melhor[Valor total])</f>
        <v>9959.07</v>
      </c>
      <c r="H17" s="8">
        <f>SUBTOTAL(109,Rede_Melhor[Custo spazio])</f>
        <v>11698.09</v>
      </c>
    </row>
    <row r="18" spans="2:10" x14ac:dyDescent="0.25">
      <c r="H18" s="2"/>
    </row>
    <row r="19" spans="2:10" x14ac:dyDescent="0.25">
      <c r="H19" s="2"/>
    </row>
    <row r="20" spans="2:10" x14ac:dyDescent="0.25">
      <c r="B20" s="17" t="s">
        <v>46</v>
      </c>
      <c r="C20" s="17"/>
      <c r="D20" s="17"/>
      <c r="E20" s="17"/>
      <c r="F20" s="17"/>
      <c r="G20" s="17"/>
      <c r="H20" s="17"/>
    </row>
    <row r="21" spans="2:10" x14ac:dyDescent="0.25">
      <c r="B21" t="s">
        <v>0</v>
      </c>
      <c r="C21" t="s">
        <v>1</v>
      </c>
      <c r="D21" t="s">
        <v>32</v>
      </c>
      <c r="E21" t="s">
        <v>36</v>
      </c>
      <c r="F21" t="s">
        <v>3</v>
      </c>
      <c r="G21" t="s">
        <v>38</v>
      </c>
      <c r="H21" s="2" t="s">
        <v>50</v>
      </c>
      <c r="I21" t="s">
        <v>6</v>
      </c>
      <c r="J21" t="s">
        <v>44</v>
      </c>
    </row>
    <row r="22" spans="2:10" x14ac:dyDescent="0.25">
      <c r="C22">
        <v>8</v>
      </c>
      <c r="D22" t="s">
        <v>53</v>
      </c>
      <c r="F22" s="7"/>
      <c r="G22" s="7">
        <f>F22*E22</f>
        <v>0</v>
      </c>
      <c r="H22" s="8">
        <v>6859.12</v>
      </c>
      <c r="I22" s="2"/>
    </row>
    <row r="23" spans="2:10" x14ac:dyDescent="0.25">
      <c r="C23">
        <v>9</v>
      </c>
      <c r="D23" t="s">
        <v>54</v>
      </c>
      <c r="F23" s="7"/>
      <c r="G23" s="7">
        <f>F23*E23</f>
        <v>0</v>
      </c>
      <c r="H23" s="8">
        <v>2236.2600000000002</v>
      </c>
      <c r="I23" s="2" t="s">
        <v>48</v>
      </c>
    </row>
    <row r="24" spans="2:10" x14ac:dyDescent="0.25">
      <c r="B24" t="s">
        <v>49</v>
      </c>
      <c r="C24">
        <v>10</v>
      </c>
      <c r="D24" t="s">
        <v>49</v>
      </c>
      <c r="E24">
        <v>1</v>
      </c>
      <c r="F24" s="7">
        <v>1268.47</v>
      </c>
      <c r="G24" s="7">
        <f>F24*E24</f>
        <v>1268.47</v>
      </c>
      <c r="H24" s="8">
        <v>1268.47</v>
      </c>
      <c r="I24" s="2"/>
    </row>
    <row r="25" spans="2:10" x14ac:dyDescent="0.25">
      <c r="B25" t="s">
        <v>47</v>
      </c>
      <c r="C25">
        <v>11</v>
      </c>
      <c r="D25" t="s">
        <v>47</v>
      </c>
      <c r="E25">
        <v>1</v>
      </c>
      <c r="F25" s="7">
        <v>1286</v>
      </c>
      <c r="G25" s="7">
        <f>F25*E25</f>
        <v>1286</v>
      </c>
      <c r="H25" s="8">
        <v>1629.6</v>
      </c>
      <c r="I25" s="2"/>
    </row>
    <row r="26" spans="2:10" x14ac:dyDescent="0.25">
      <c r="B26" t="s">
        <v>43</v>
      </c>
      <c r="F26" s="7"/>
      <c r="G26" s="7">
        <f>SUBTOTAL(109,Rede_Minimo89[Valor total])</f>
        <v>2554.4700000000003</v>
      </c>
      <c r="H26" s="8">
        <f>SUBTOTAL(109,Rede_Minimo89[Custo spazio])</f>
        <v>11993.45</v>
      </c>
    </row>
    <row r="27" spans="2:10" x14ac:dyDescent="0.25">
      <c r="H27" s="2"/>
    </row>
    <row r="28" spans="2:10" x14ac:dyDescent="0.25">
      <c r="B28" s="17" t="s">
        <v>55</v>
      </c>
      <c r="C28" s="17"/>
      <c r="D28" s="17"/>
      <c r="E28" s="17"/>
      <c r="F28" s="17"/>
      <c r="G28" s="17"/>
      <c r="H28" s="17"/>
    </row>
    <row r="29" spans="2:10" x14ac:dyDescent="0.25">
      <c r="B29" t="s">
        <v>0</v>
      </c>
      <c r="C29" t="s">
        <v>1</v>
      </c>
      <c r="D29" t="s">
        <v>32</v>
      </c>
      <c r="E29" t="s">
        <v>36</v>
      </c>
      <c r="F29" t="s">
        <v>3</v>
      </c>
      <c r="G29" t="s">
        <v>38</v>
      </c>
      <c r="H29" t="s">
        <v>50</v>
      </c>
      <c r="I29" t="s">
        <v>6</v>
      </c>
      <c r="J29" t="s">
        <v>62</v>
      </c>
    </row>
    <row r="30" spans="2:10" x14ac:dyDescent="0.25">
      <c r="C30">
        <v>12</v>
      </c>
      <c r="D30" t="s">
        <v>57</v>
      </c>
      <c r="F30" s="7"/>
      <c r="G30" s="7">
        <f>F30*E30</f>
        <v>0</v>
      </c>
      <c r="H30" s="8">
        <v>14251.94</v>
      </c>
      <c r="I30" s="2"/>
    </row>
    <row r="31" spans="2:10" x14ac:dyDescent="0.25">
      <c r="B31" t="s">
        <v>61</v>
      </c>
      <c r="C31">
        <v>13</v>
      </c>
      <c r="D31" t="s">
        <v>58</v>
      </c>
      <c r="E31">
        <v>24</v>
      </c>
      <c r="F31" s="7">
        <v>600</v>
      </c>
      <c r="G31" s="7">
        <f>F31*E31</f>
        <v>14400</v>
      </c>
      <c r="H31" s="8">
        <v>14206.84</v>
      </c>
      <c r="I31" s="4" t="s">
        <v>60</v>
      </c>
      <c r="J31" t="s">
        <v>63</v>
      </c>
    </row>
    <row r="32" spans="2:10" x14ac:dyDescent="0.25">
      <c r="F32" s="7"/>
      <c r="G32" s="7"/>
      <c r="H32" s="8"/>
      <c r="I32" s="2"/>
    </row>
    <row r="33" spans="2:10" x14ac:dyDescent="0.25">
      <c r="F33" s="7"/>
      <c r="G33" s="7"/>
      <c r="H33" s="8"/>
      <c r="I33" s="2"/>
    </row>
    <row r="34" spans="2:10" x14ac:dyDescent="0.25">
      <c r="B34" t="s">
        <v>43</v>
      </c>
      <c r="G34" s="7">
        <f>SUBTOTAL(109,Rede_Minimo81011[Valor total])</f>
        <v>14400</v>
      </c>
      <c r="H34" s="8">
        <f>SUBTOTAL(109,Rede_Minimo81011[Custo spazio])</f>
        <v>28458.78</v>
      </c>
    </row>
    <row r="35" spans="2:10" x14ac:dyDescent="0.25">
      <c r="H35" s="2"/>
    </row>
    <row r="36" spans="2:10" x14ac:dyDescent="0.25">
      <c r="B36" s="17" t="s">
        <v>65</v>
      </c>
      <c r="C36" s="17"/>
      <c r="D36" s="17"/>
      <c r="E36" s="17"/>
      <c r="F36" s="17"/>
      <c r="G36" s="17"/>
      <c r="H36" s="17"/>
    </row>
    <row r="37" spans="2:10" x14ac:dyDescent="0.25">
      <c r="B37" t="s">
        <v>0</v>
      </c>
      <c r="C37" t="s">
        <v>1</v>
      </c>
      <c r="D37" t="s">
        <v>32</v>
      </c>
      <c r="E37" t="s">
        <v>36</v>
      </c>
      <c r="F37" t="s">
        <v>3</v>
      </c>
      <c r="G37" t="s">
        <v>38</v>
      </c>
      <c r="H37" t="s">
        <v>50</v>
      </c>
      <c r="I37" t="s">
        <v>6</v>
      </c>
      <c r="J37" t="s">
        <v>62</v>
      </c>
    </row>
    <row r="38" spans="2:10" x14ac:dyDescent="0.25">
      <c r="B38" t="s">
        <v>66</v>
      </c>
      <c r="C38">
        <v>14</v>
      </c>
      <c r="D38" t="s">
        <v>57</v>
      </c>
      <c r="E38">
        <v>18</v>
      </c>
      <c r="F38" s="7">
        <v>104.42</v>
      </c>
      <c r="G38" s="7">
        <f>F38*E38</f>
        <v>1879.56</v>
      </c>
      <c r="H38" s="8">
        <v>8016.72</v>
      </c>
      <c r="I38" s="2" t="s">
        <v>69</v>
      </c>
    </row>
    <row r="39" spans="2:10" x14ac:dyDescent="0.25">
      <c r="F39" s="7"/>
      <c r="G39" s="7"/>
      <c r="H39" s="8"/>
      <c r="I39" s="4"/>
    </row>
    <row r="40" spans="2:10" x14ac:dyDescent="0.25">
      <c r="F40" s="7"/>
      <c r="G40" s="7"/>
      <c r="H40" s="8"/>
      <c r="I40" s="2"/>
    </row>
    <row r="41" spans="2:10" x14ac:dyDescent="0.25">
      <c r="F41" s="7"/>
      <c r="G41" s="7"/>
      <c r="H41" s="8"/>
      <c r="I41" s="2"/>
    </row>
    <row r="42" spans="2:10" x14ac:dyDescent="0.25">
      <c r="B42" t="s">
        <v>43</v>
      </c>
      <c r="G42" s="7">
        <f>SUBTOTAL(109,Rede_Minimo8101214[Valor total])</f>
        <v>1879.56</v>
      </c>
      <c r="H42" s="8">
        <f>SUBTOTAL(109,Rede_Minimo8101214[Custo spazio])</f>
        <v>8016.72</v>
      </c>
    </row>
    <row r="43" spans="2:10" x14ac:dyDescent="0.25">
      <c r="H43" s="2"/>
    </row>
    <row r="44" spans="2:10" x14ac:dyDescent="0.25">
      <c r="H44" s="2"/>
    </row>
    <row r="45" spans="2:10" x14ac:dyDescent="0.25">
      <c r="B45" s="17" t="s">
        <v>67</v>
      </c>
      <c r="C45" s="17"/>
      <c r="D45" s="17"/>
      <c r="E45" s="17"/>
      <c r="F45" s="17"/>
      <c r="G45" s="17"/>
      <c r="H45" s="17"/>
    </row>
    <row r="46" spans="2:10" x14ac:dyDescent="0.25">
      <c r="B46" t="s">
        <v>0</v>
      </c>
      <c r="C46" t="s">
        <v>1</v>
      </c>
      <c r="D46" t="s">
        <v>32</v>
      </c>
      <c r="E46" t="s">
        <v>36</v>
      </c>
      <c r="F46" t="s">
        <v>3</v>
      </c>
      <c r="G46" t="s">
        <v>38</v>
      </c>
      <c r="H46" t="s">
        <v>50</v>
      </c>
      <c r="I46" t="s">
        <v>6</v>
      </c>
      <c r="J46" t="s">
        <v>62</v>
      </c>
    </row>
    <row r="47" spans="2:10" x14ac:dyDescent="0.25">
      <c r="B47" t="s">
        <v>64</v>
      </c>
      <c r="C47">
        <v>15</v>
      </c>
      <c r="D47" t="s">
        <v>68</v>
      </c>
      <c r="E47" s="10">
        <v>8</v>
      </c>
      <c r="F47" s="7">
        <v>193.15</v>
      </c>
      <c r="G47" s="7">
        <f>F47*E47</f>
        <v>1545.2</v>
      </c>
      <c r="H47" s="8">
        <v>4115.47</v>
      </c>
      <c r="I47" s="4" t="s">
        <v>70</v>
      </c>
    </row>
    <row r="48" spans="2:10" x14ac:dyDescent="0.25">
      <c r="F48" s="7"/>
      <c r="G48" s="7"/>
      <c r="H48" s="8"/>
      <c r="I48" s="4"/>
    </row>
    <row r="49" spans="2:9" x14ac:dyDescent="0.25">
      <c r="F49" s="7"/>
      <c r="G49" s="7"/>
      <c r="H49" s="8"/>
      <c r="I49" s="2"/>
    </row>
    <row r="50" spans="2:9" x14ac:dyDescent="0.25">
      <c r="F50" s="7"/>
      <c r="G50" s="7"/>
      <c r="H50" s="8"/>
      <c r="I50" s="2"/>
    </row>
    <row r="51" spans="2:9" x14ac:dyDescent="0.25">
      <c r="B51" t="s">
        <v>43</v>
      </c>
      <c r="G51" s="7">
        <f>SUBTOTAL(109,Rede_Minimo810121315[Valor total])</f>
        <v>1545.2</v>
      </c>
      <c r="H51" s="8">
        <f>SUBTOTAL(109,Rede_Minimo810121315[Custo spazio])</f>
        <v>4115.47</v>
      </c>
    </row>
    <row r="52" spans="2:9" x14ac:dyDescent="0.25">
      <c r="H52" s="2"/>
    </row>
    <row r="53" spans="2:9" x14ac:dyDescent="0.25">
      <c r="H53" s="2"/>
    </row>
    <row r="54" spans="2:9" x14ac:dyDescent="0.25">
      <c r="B54" s="17" t="s">
        <v>71</v>
      </c>
      <c r="C54" s="17"/>
      <c r="D54" s="17"/>
      <c r="E54" s="17"/>
      <c r="F54" s="17"/>
      <c r="G54" s="17"/>
      <c r="H54" s="17"/>
    </row>
    <row r="55" spans="2:9" x14ac:dyDescent="0.25">
      <c r="B55" t="s">
        <v>0</v>
      </c>
      <c r="C55" t="s">
        <v>1</v>
      </c>
      <c r="D55" t="s">
        <v>32</v>
      </c>
      <c r="E55" t="s">
        <v>36</v>
      </c>
      <c r="F55" t="s">
        <v>3</v>
      </c>
      <c r="G55" t="s">
        <v>38</v>
      </c>
      <c r="H55" t="s">
        <v>50</v>
      </c>
      <c r="I55" t="s">
        <v>6</v>
      </c>
    </row>
    <row r="56" spans="2:9" x14ac:dyDescent="0.25">
      <c r="B56" t="s">
        <v>66</v>
      </c>
      <c r="C56">
        <v>16</v>
      </c>
      <c r="D56" t="s">
        <v>57</v>
      </c>
      <c r="E56">
        <v>4</v>
      </c>
      <c r="F56" s="7">
        <v>104.42</v>
      </c>
      <c r="G56" s="7">
        <f>F56*E56</f>
        <v>417.68</v>
      </c>
      <c r="H56" s="8">
        <v>1781.49</v>
      </c>
      <c r="I56" s="2" t="s">
        <v>69</v>
      </c>
    </row>
    <row r="57" spans="2:9" x14ac:dyDescent="0.25">
      <c r="F57" s="7"/>
      <c r="G57" s="7"/>
      <c r="H57" s="8"/>
      <c r="I57" s="4"/>
    </row>
    <row r="58" spans="2:9" x14ac:dyDescent="0.25">
      <c r="F58" s="7"/>
      <c r="G58" s="7"/>
      <c r="H58" s="8"/>
      <c r="I58" s="2"/>
    </row>
    <row r="59" spans="2:9" x14ac:dyDescent="0.25">
      <c r="F59" s="7"/>
      <c r="G59" s="7"/>
      <c r="H59" s="8"/>
      <c r="I59" s="2"/>
    </row>
    <row r="60" spans="2:9" x14ac:dyDescent="0.25">
      <c r="B60" t="s">
        <v>43</v>
      </c>
      <c r="G60" s="7">
        <f>SUBTOTAL(109,Rede_Minimo81012131617[Valor total])</f>
        <v>417.68</v>
      </c>
      <c r="H60" s="8">
        <f>SUBTOTAL(109,Rede_Minimo81012131617[Custo spazio])</f>
        <v>1781.49</v>
      </c>
    </row>
    <row r="61" spans="2:9" x14ac:dyDescent="0.25">
      <c r="H61" s="2"/>
    </row>
    <row r="62" spans="2:9" x14ac:dyDescent="0.25">
      <c r="H62" s="2"/>
    </row>
    <row r="63" spans="2:9" x14ac:dyDescent="0.25">
      <c r="B63" s="17" t="s">
        <v>72</v>
      </c>
      <c r="C63" s="17"/>
      <c r="D63" s="17"/>
      <c r="E63" s="17"/>
      <c r="F63" s="17"/>
      <c r="G63" s="17"/>
      <c r="H63" s="17"/>
    </row>
    <row r="64" spans="2:9" x14ac:dyDescent="0.25">
      <c r="B64" t="s">
        <v>0</v>
      </c>
      <c r="C64" t="s">
        <v>1</v>
      </c>
      <c r="D64" t="s">
        <v>32</v>
      </c>
      <c r="E64" t="s">
        <v>36</v>
      </c>
      <c r="F64" t="s">
        <v>3</v>
      </c>
      <c r="G64" t="s">
        <v>38</v>
      </c>
      <c r="H64" t="s">
        <v>50</v>
      </c>
      <c r="I64" t="s">
        <v>6</v>
      </c>
    </row>
    <row r="65" spans="2:9" x14ac:dyDescent="0.25">
      <c r="B65" t="s">
        <v>66</v>
      </c>
      <c r="C65">
        <v>17</v>
      </c>
      <c r="D65" t="s">
        <v>57</v>
      </c>
      <c r="E65">
        <v>10</v>
      </c>
      <c r="F65" s="7">
        <v>104.42</v>
      </c>
      <c r="G65" s="7">
        <f>F65*E65</f>
        <v>1044.2</v>
      </c>
      <c r="H65" s="8">
        <v>4453.7299999999996</v>
      </c>
      <c r="I65" s="2" t="s">
        <v>69</v>
      </c>
    </row>
    <row r="66" spans="2:9" x14ac:dyDescent="0.25">
      <c r="F66" s="7"/>
      <c r="G66" s="7"/>
      <c r="H66" s="8"/>
      <c r="I66" s="4"/>
    </row>
    <row r="67" spans="2:9" x14ac:dyDescent="0.25">
      <c r="F67" s="7"/>
      <c r="G67" s="7"/>
      <c r="H67" s="8"/>
      <c r="I67" s="2"/>
    </row>
    <row r="68" spans="2:9" x14ac:dyDescent="0.25">
      <c r="F68" s="7"/>
      <c r="G68" s="7"/>
      <c r="H68" s="8"/>
      <c r="I68" s="2"/>
    </row>
    <row r="69" spans="2:9" x14ac:dyDescent="0.25">
      <c r="B69" t="s">
        <v>43</v>
      </c>
      <c r="G69" s="7">
        <f>SUBTOTAL(109,Rede_Minimo8101213161819[Valor total])</f>
        <v>1044.2</v>
      </c>
      <c r="H69" s="8">
        <f>SUBTOTAL(109,Rede_Minimo8101213161819[Custo spazio])</f>
        <v>4453.7299999999996</v>
      </c>
    </row>
    <row r="70" spans="2:9" x14ac:dyDescent="0.25">
      <c r="H70" s="2"/>
    </row>
    <row r="71" spans="2:9" x14ac:dyDescent="0.25">
      <c r="F71" s="13"/>
      <c r="G71" s="13" t="s">
        <v>75</v>
      </c>
      <c r="H71" s="13" t="s">
        <v>76</v>
      </c>
    </row>
    <row r="72" spans="2:9" x14ac:dyDescent="0.25">
      <c r="F72" s="13" t="s">
        <v>74</v>
      </c>
      <c r="G72" s="15">
        <f>Rede_Minimo8101213161819[[#Totals],[Valor total]]+Rede_Minimo81012131617[[#Totals],[Valor total]]+Rede_Minimo810121315[[#Totals],[Valor total]]+Rede_Minimo8101214[[#Totals],[Valor total]]+Rede_Minimo81011[[#Totals],[Valor total]]+Rede_Minimo89[[#Totals],[Valor total]]+Rede_Melhor[[#Totals],[Valor total]]+Tabela4[[#Totals],[Valor total]]</f>
        <v>33533.51</v>
      </c>
      <c r="H72" s="16">
        <f>Rede_Minimo8101213161819[[#Totals],[Custo spazio]]+Rede_Minimo81012131617[[#Totals],[Custo spazio]]+Rede_Minimo810121315[[#Totals],[Custo spazio]]+Rede_Minimo8101214[[#Totals],[Custo spazio]]+Rede_Minimo81011[[#Totals],[Custo spazio]]+Rede_Minimo89[[#Totals],[Custo spazio]]+Rede_Melhor[[#Totals],[Custo spazio]]+Tabela4[[#Totals],[Custo Spazio]]</f>
        <v>88370.25</v>
      </c>
    </row>
    <row r="73" spans="2:9" x14ac:dyDescent="0.25">
      <c r="F73" s="14" t="s">
        <v>79</v>
      </c>
      <c r="G73" s="15">
        <f>Persianas_Minimo[[#Totals],[Toni]]+Iluminacao_Minimo[[#Totals],[Toni]]+Quadro_Eletrico_Minimo[[#Totals],[Toni]]+Rede_Minimo[[#Totals],[Toni]]+Tabela6[[#Totals],[Toni]]</f>
        <v>13781.900000000001</v>
      </c>
      <c r="H73" s="15">
        <f>Piso_Minimo[[#Totals],[Custo spazio]]+Sauna_Minimo[[#Totals],[Custo spazio]]+AC_Minimo[[#Totals],[Custo spazio]]+Persianas_Minimo[[#Totals],[Custo spazio]]+Iluminacao_Minimo[[#Totals],[Custo spazio]]+Quadro_Eletrico_Minimo[[#Totals],[Custo spazio]]+Rede_Minimo[[#Totals],[Custo spazio]]+Tabela6[[#Totals],[Custo spazio]]</f>
        <v>88370.25</v>
      </c>
    </row>
    <row r="74" spans="2:9" x14ac:dyDescent="0.25">
      <c r="F74" s="13" t="s">
        <v>77</v>
      </c>
      <c r="G74" s="15">
        <f>30000</f>
        <v>30000</v>
      </c>
      <c r="H74" s="15">
        <f>110000-H73</f>
        <v>21629.75</v>
      </c>
    </row>
    <row r="75" spans="2:9" x14ac:dyDescent="0.25">
      <c r="F75" s="13" t="s">
        <v>73</v>
      </c>
      <c r="G75" s="15">
        <f>G72+G73+G74</f>
        <v>77315.41</v>
      </c>
      <c r="H75" s="15">
        <f>H74+H73</f>
        <v>110000</v>
      </c>
    </row>
  </sheetData>
  <mergeCells count="9">
    <mergeCell ref="B1:F1"/>
    <mergeCell ref="B9:H9"/>
    <mergeCell ref="B2:H2"/>
    <mergeCell ref="B36:H36"/>
    <mergeCell ref="B45:H45"/>
    <mergeCell ref="B54:H54"/>
    <mergeCell ref="B63:H63"/>
    <mergeCell ref="B20:H20"/>
    <mergeCell ref="B28:H28"/>
  </mergeCells>
  <hyperlinks>
    <hyperlink ref="I11" r:id="rId1" xr:uid="{972C20B4-8151-4D1A-95CD-84D31CCD85E3}"/>
    <hyperlink ref="I14" r:id="rId2" location="polycard_client=search-nordic&amp;wid=MLB3902952127&amp;sid=search&amp;searchVariation=MLB27121973&amp;position=2&amp;search_layout=grid&amp;type=product&amp;tracking_id=30b7fab2-764e-4923-82fa-448b98d62786" display="https://www.mercadolivre.com.br/patch-panel-cat6-24p-linkeo-legrand-632841/p/MLB27121973#polycard_client=search-nordic&amp;wid=MLB3902952127&amp;sid=search&amp;searchVariation=MLB27121973&amp;position=2&amp;search_layout=grid&amp;type=product&amp;tracking_id=30b7fab2-764e-4923-82fa-448b98d62786" xr:uid="{385A0348-DBE3-4A11-89C6-B81856F5FEAA}"/>
    <hyperlink ref="I31" r:id="rId3" display="https://pt.aliexpress.com/item/1005006034155491.html?spm=a2g0o.productlist.main.7.5c0d4e97qb7Zvw&amp;algo_pvid=227a205a-9506-455d-95d6-b9feec3176c6&amp;aem_p4p_detail=202412160555333614392235510520004078271&amp;algo_exp_id=227a205a-9506-455d-95d6-b9feec3176c6-3&amp;pdp_npi=4%40dis%21BRL%21235.47%21122.44%21%21%21270.16%21140.48%21%402101c5b117343573333041234e0472%2112000035421704002%21sea%21BR%21133207410%21X&amp;curPageLogUid=RlKLBwG9ajdq&amp;utparam-url=scene%3Asearch%7Cquery_from%3A&amp;search_p4p_id=202412160555333614392235510520004078271_1" xr:uid="{CAFDEA12-A8DD-4A32-8953-8D970A8AC423}"/>
    <hyperlink ref="I47" r:id="rId4" display="https://pt.aliexpress.com/item/1005003123347295.html?spm=a2g0o.productlist.main.3.16cb57ebYfUiKf&amp;algo_pvid=6b664e41-df60-415b-8526-1938216df176&amp;algo_exp_id=6b664e41-df60-415b-8526-1938216df176-1&amp;pdp_npi=4%40dis%21BRL%21165.38%21109.15%21%21%2126.03%2117.18%21%40210313e917343577423101471e9b28%2112000024257381198%21sea%21BR%21133207410%21X&amp;curPageLogUid=0sVZ8e77lKMh&amp;utparam-url=scene%3Asearch%7Cquery_from%3A" xr:uid="{FDBE38FE-8FAD-41EC-96DC-9098A14D2851}"/>
  </hyperlinks>
  <pageMargins left="0.511811024" right="0.511811024" top="0.78740157499999996" bottom="0.78740157499999996" header="0.31496062000000002" footer="0.31496062000000002"/>
  <tableParts count="8"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C70B-532B-40E2-9B48-DC2CB96072AC}">
  <dimension ref="B1:J75"/>
  <sheetViews>
    <sheetView topLeftCell="A49" workbookViewId="0">
      <selection activeCell="B79" sqref="B79"/>
    </sheetView>
  </sheetViews>
  <sheetFormatPr defaultRowHeight="15" x14ac:dyDescent="0.25"/>
  <cols>
    <col min="2" max="2" width="25.140625" bestFit="1" customWidth="1"/>
    <col min="3" max="3" width="13.5703125" bestFit="1" customWidth="1"/>
    <col min="4" max="4" width="25.140625" bestFit="1" customWidth="1"/>
    <col min="6" max="6" width="12" bestFit="1" customWidth="1"/>
    <col min="7" max="7" width="12.5703125" bestFit="1" customWidth="1"/>
    <col min="8" max="8" width="14.28515625" bestFit="1" customWidth="1"/>
  </cols>
  <sheetData>
    <row r="1" spans="2:10" x14ac:dyDescent="0.25">
      <c r="B1" s="18" t="s">
        <v>78</v>
      </c>
      <c r="C1" s="18"/>
      <c r="D1" s="18"/>
      <c r="E1" s="18"/>
      <c r="F1" s="18"/>
      <c r="G1" s="1"/>
    </row>
    <row r="2" spans="2:10" x14ac:dyDescent="0.25">
      <c r="B2" s="17" t="s">
        <v>45</v>
      </c>
      <c r="C2" s="17"/>
      <c r="D2" s="17"/>
      <c r="E2" s="17"/>
      <c r="F2" s="17"/>
      <c r="G2" s="17"/>
      <c r="H2" s="17"/>
    </row>
    <row r="3" spans="2:10" x14ac:dyDescent="0.25">
      <c r="B3" t="s">
        <v>0</v>
      </c>
      <c r="C3" t="s">
        <v>1</v>
      </c>
      <c r="D3" t="s">
        <v>2</v>
      </c>
      <c r="E3" t="s">
        <v>36</v>
      </c>
      <c r="F3" t="s">
        <v>37</v>
      </c>
      <c r="G3" t="s">
        <v>38</v>
      </c>
      <c r="H3" s="2" t="s">
        <v>56</v>
      </c>
      <c r="I3" t="s">
        <v>6</v>
      </c>
      <c r="J3" t="s">
        <v>20</v>
      </c>
    </row>
    <row r="4" spans="2:10" x14ac:dyDescent="0.25">
      <c r="B4" t="s">
        <v>8</v>
      </c>
      <c r="C4">
        <v>1</v>
      </c>
      <c r="D4" t="s">
        <v>5</v>
      </c>
      <c r="E4">
        <v>1</v>
      </c>
      <c r="F4" s="7">
        <f>978.4+754.93</f>
        <v>1733.33</v>
      </c>
      <c r="G4" s="7">
        <f>F4*E4</f>
        <v>1733.33</v>
      </c>
      <c r="H4" s="7">
        <v>17852.52</v>
      </c>
      <c r="I4" s="3" t="s">
        <v>7</v>
      </c>
      <c r="J4" t="s">
        <v>28</v>
      </c>
    </row>
    <row r="5" spans="2:10" x14ac:dyDescent="0.25">
      <c r="B5" t="s">
        <v>43</v>
      </c>
      <c r="F5" s="7"/>
      <c r="G5" s="7">
        <f>SUBTOTAL(109,Tabela421[Valor total])</f>
        <v>1733.33</v>
      </c>
      <c r="H5" s="9">
        <f>SUBTOTAL(109,Tabela421[Custo Spazio])</f>
        <v>17852.52</v>
      </c>
    </row>
    <row r="6" spans="2:10" x14ac:dyDescent="0.25">
      <c r="H6" s="3"/>
    </row>
    <row r="7" spans="2:10" x14ac:dyDescent="0.25">
      <c r="H7" s="3"/>
    </row>
    <row r="8" spans="2:10" x14ac:dyDescent="0.25">
      <c r="H8" s="3"/>
    </row>
    <row r="9" spans="2:10" x14ac:dyDescent="0.25">
      <c r="B9" s="17" t="s">
        <v>42</v>
      </c>
      <c r="C9" s="17"/>
      <c r="D9" s="17"/>
      <c r="E9" s="17"/>
      <c r="F9" s="17"/>
      <c r="G9" s="17"/>
      <c r="H9" s="17"/>
    </row>
    <row r="10" spans="2:10" x14ac:dyDescent="0.25">
      <c r="B10" t="s">
        <v>0</v>
      </c>
      <c r="C10" t="s">
        <v>1</v>
      </c>
      <c r="D10" t="s">
        <v>32</v>
      </c>
      <c r="E10" t="s">
        <v>36</v>
      </c>
      <c r="F10" t="s">
        <v>3</v>
      </c>
      <c r="G10" t="s">
        <v>38</v>
      </c>
      <c r="H10" s="2" t="s">
        <v>50</v>
      </c>
      <c r="I10" t="s">
        <v>6</v>
      </c>
      <c r="J10" t="s">
        <v>20</v>
      </c>
    </row>
    <row r="11" spans="2:10" x14ac:dyDescent="0.25">
      <c r="B11" t="s">
        <v>10</v>
      </c>
      <c r="C11">
        <v>2</v>
      </c>
      <c r="D11" t="s">
        <v>11</v>
      </c>
      <c r="E11">
        <v>1</v>
      </c>
      <c r="F11" s="7">
        <v>486</v>
      </c>
      <c r="G11" s="7">
        <f t="shared" ref="G11:G16" si="0">F11*E11</f>
        <v>486</v>
      </c>
      <c r="H11" s="7">
        <v>1694.56</v>
      </c>
      <c r="I11" s="2" t="s">
        <v>12</v>
      </c>
    </row>
    <row r="12" spans="2:10" x14ac:dyDescent="0.25">
      <c r="B12" t="s">
        <v>18</v>
      </c>
      <c r="C12">
        <v>3</v>
      </c>
      <c r="D12" t="s">
        <v>16</v>
      </c>
      <c r="E12">
        <v>1</v>
      </c>
      <c r="F12" s="7">
        <v>1828.99</v>
      </c>
      <c r="G12" s="7">
        <f t="shared" si="0"/>
        <v>1828.99</v>
      </c>
      <c r="H12" s="7">
        <v>1528.74</v>
      </c>
      <c r="I12" s="2" t="s">
        <v>19</v>
      </c>
      <c r="J12" t="s">
        <v>21</v>
      </c>
    </row>
    <row r="13" spans="2:10" x14ac:dyDescent="0.25">
      <c r="B13" t="s">
        <v>22</v>
      </c>
      <c r="C13">
        <v>4</v>
      </c>
      <c r="D13" t="s">
        <v>23</v>
      </c>
      <c r="E13">
        <v>3</v>
      </c>
      <c r="F13" s="7">
        <v>789</v>
      </c>
      <c r="G13" s="7">
        <f t="shared" si="0"/>
        <v>2367</v>
      </c>
      <c r="H13" s="7">
        <v>4712.6099999999997</v>
      </c>
      <c r="I13" s="2" t="s">
        <v>24</v>
      </c>
    </row>
    <row r="14" spans="2:10" x14ac:dyDescent="0.25">
      <c r="C14">
        <v>5</v>
      </c>
      <c r="D14" t="s">
        <v>29</v>
      </c>
      <c r="F14" s="7"/>
      <c r="G14" s="7">
        <f t="shared" si="0"/>
        <v>0</v>
      </c>
      <c r="H14" s="8">
        <v>1437.6</v>
      </c>
      <c r="I14" s="4" t="s">
        <v>30</v>
      </c>
      <c r="J14" t="s">
        <v>31</v>
      </c>
    </row>
    <row r="15" spans="2:10" x14ac:dyDescent="0.25">
      <c r="C15">
        <v>6</v>
      </c>
      <c r="D15" t="s">
        <v>33</v>
      </c>
      <c r="F15" s="7"/>
      <c r="G15" s="7">
        <f t="shared" si="0"/>
        <v>0</v>
      </c>
      <c r="H15" s="8">
        <v>586.30999999999995</v>
      </c>
      <c r="I15" s="2" t="s">
        <v>34</v>
      </c>
    </row>
    <row r="16" spans="2:10" x14ac:dyDescent="0.25">
      <c r="B16" t="s">
        <v>39</v>
      </c>
      <c r="C16">
        <v>7</v>
      </c>
      <c r="D16" t="s">
        <v>39</v>
      </c>
      <c r="E16">
        <v>1</v>
      </c>
      <c r="F16" s="7">
        <v>937</v>
      </c>
      <c r="G16" s="7">
        <f t="shared" si="0"/>
        <v>937</v>
      </c>
      <c r="H16" s="7">
        <v>1738.27</v>
      </c>
      <c r="I16" s="2" t="s">
        <v>40</v>
      </c>
      <c r="J16" t="s">
        <v>41</v>
      </c>
    </row>
    <row r="17" spans="2:10" x14ac:dyDescent="0.25">
      <c r="B17" t="s">
        <v>43</v>
      </c>
      <c r="F17" s="7"/>
      <c r="G17" s="7">
        <f>SUBTOTAL(109,Rede_Melhor20[Valor total])</f>
        <v>5618.99</v>
      </c>
      <c r="H17" s="8">
        <f>SUBTOTAL(109,Rede_Melhor20[Custo spazio])</f>
        <v>11698.09</v>
      </c>
    </row>
    <row r="18" spans="2:10" x14ac:dyDescent="0.25">
      <c r="H18" s="2"/>
    </row>
    <row r="19" spans="2:10" x14ac:dyDescent="0.25">
      <c r="H19" s="2"/>
    </row>
    <row r="20" spans="2:10" x14ac:dyDescent="0.25">
      <c r="B20" s="17" t="s">
        <v>46</v>
      </c>
      <c r="C20" s="17"/>
      <c r="D20" s="17"/>
      <c r="E20" s="17"/>
      <c r="F20" s="17"/>
      <c r="G20" s="17"/>
      <c r="H20" s="17"/>
    </row>
    <row r="21" spans="2:10" x14ac:dyDescent="0.25">
      <c r="B21" t="s">
        <v>0</v>
      </c>
      <c r="C21" t="s">
        <v>1</v>
      </c>
      <c r="D21" t="s">
        <v>32</v>
      </c>
      <c r="E21" t="s">
        <v>36</v>
      </c>
      <c r="F21" t="s">
        <v>3</v>
      </c>
      <c r="G21" t="s">
        <v>38</v>
      </c>
      <c r="H21" s="2" t="s">
        <v>50</v>
      </c>
      <c r="I21" t="s">
        <v>6</v>
      </c>
      <c r="J21" t="s">
        <v>44</v>
      </c>
    </row>
    <row r="22" spans="2:10" x14ac:dyDescent="0.25">
      <c r="C22">
        <v>8</v>
      </c>
      <c r="D22" t="s">
        <v>53</v>
      </c>
      <c r="F22" s="7"/>
      <c r="G22" s="7">
        <f>F22*E22</f>
        <v>0</v>
      </c>
      <c r="H22" s="8">
        <v>6859.12</v>
      </c>
      <c r="I22" s="2"/>
    </row>
    <row r="23" spans="2:10" x14ac:dyDescent="0.25">
      <c r="C23">
        <v>9</v>
      </c>
      <c r="D23" t="s">
        <v>54</v>
      </c>
      <c r="F23" s="7"/>
      <c r="G23" s="7">
        <f>F23*E23</f>
        <v>0</v>
      </c>
      <c r="H23" s="8">
        <v>2236.2600000000002</v>
      </c>
      <c r="I23" s="2" t="s">
        <v>48</v>
      </c>
    </row>
    <row r="24" spans="2:10" x14ac:dyDescent="0.25">
      <c r="B24" t="s">
        <v>49</v>
      </c>
      <c r="C24">
        <v>10</v>
      </c>
      <c r="D24" t="s">
        <v>49</v>
      </c>
      <c r="E24">
        <v>1</v>
      </c>
      <c r="F24" s="7">
        <v>1268.47</v>
      </c>
      <c r="G24" s="7">
        <f>F24*E24</f>
        <v>1268.47</v>
      </c>
      <c r="H24" s="8">
        <v>1268.47</v>
      </c>
      <c r="I24" s="2"/>
    </row>
    <row r="25" spans="2:10" x14ac:dyDescent="0.25">
      <c r="B25" t="s">
        <v>47</v>
      </c>
      <c r="C25">
        <v>11</v>
      </c>
      <c r="D25" t="s">
        <v>47</v>
      </c>
      <c r="E25">
        <v>1</v>
      </c>
      <c r="F25" s="7">
        <v>1286</v>
      </c>
      <c r="G25" s="7">
        <f>F25*E25</f>
        <v>1286</v>
      </c>
      <c r="H25" s="8">
        <v>1629.6</v>
      </c>
      <c r="I25" s="2"/>
    </row>
    <row r="26" spans="2:10" x14ac:dyDescent="0.25">
      <c r="B26" t="s">
        <v>43</v>
      </c>
      <c r="F26" s="7"/>
      <c r="G26" s="7">
        <f>SUBTOTAL(109,Rede_Minimo8922[Valor total])</f>
        <v>2554.4700000000003</v>
      </c>
      <c r="H26" s="8">
        <f>SUBTOTAL(109,Rede_Minimo8922[Custo spazio])</f>
        <v>11993.45</v>
      </c>
    </row>
    <row r="27" spans="2:10" x14ac:dyDescent="0.25">
      <c r="H27" s="2"/>
    </row>
    <row r="28" spans="2:10" x14ac:dyDescent="0.25">
      <c r="B28" s="17" t="s">
        <v>55</v>
      </c>
      <c r="C28" s="17"/>
      <c r="D28" s="17"/>
      <c r="E28" s="17"/>
      <c r="F28" s="17"/>
      <c r="G28" s="17"/>
      <c r="H28" s="17"/>
    </row>
    <row r="29" spans="2:10" x14ac:dyDescent="0.25">
      <c r="B29" t="s">
        <v>0</v>
      </c>
      <c r="C29" t="s">
        <v>1</v>
      </c>
      <c r="D29" t="s">
        <v>32</v>
      </c>
      <c r="E29" t="s">
        <v>36</v>
      </c>
      <c r="F29" t="s">
        <v>3</v>
      </c>
      <c r="G29" t="s">
        <v>38</v>
      </c>
      <c r="H29" t="s">
        <v>50</v>
      </c>
      <c r="I29" t="s">
        <v>6</v>
      </c>
      <c r="J29" t="s">
        <v>62</v>
      </c>
    </row>
    <row r="30" spans="2:10" x14ac:dyDescent="0.25">
      <c r="C30">
        <v>12</v>
      </c>
      <c r="D30" t="s">
        <v>57</v>
      </c>
      <c r="F30" s="7"/>
      <c r="G30" s="7">
        <f>F30*E30</f>
        <v>0</v>
      </c>
      <c r="H30" s="8">
        <v>14251.94</v>
      </c>
      <c r="I30" s="2"/>
    </row>
    <row r="31" spans="2:10" x14ac:dyDescent="0.25">
      <c r="B31" t="s">
        <v>61</v>
      </c>
      <c r="C31">
        <v>13</v>
      </c>
      <c r="D31" t="s">
        <v>58</v>
      </c>
      <c r="E31">
        <v>24</v>
      </c>
      <c r="F31" s="7">
        <v>600</v>
      </c>
      <c r="G31" s="7">
        <f>F31*E31</f>
        <v>14400</v>
      </c>
      <c r="H31" s="8">
        <v>14206.84</v>
      </c>
      <c r="I31" s="4" t="s">
        <v>60</v>
      </c>
      <c r="J31" t="s">
        <v>63</v>
      </c>
    </row>
    <row r="32" spans="2:10" x14ac:dyDescent="0.25">
      <c r="F32" s="7"/>
      <c r="G32" s="7"/>
      <c r="H32" s="8"/>
      <c r="I32" s="2"/>
    </row>
    <row r="33" spans="2:10" x14ac:dyDescent="0.25">
      <c r="F33" s="7"/>
      <c r="G33" s="7"/>
      <c r="H33" s="8"/>
      <c r="I33" s="2"/>
    </row>
    <row r="34" spans="2:10" x14ac:dyDescent="0.25">
      <c r="B34" t="s">
        <v>43</v>
      </c>
      <c r="G34" s="7">
        <f>SUBTOTAL(109,Rede_Minimo8101123[Valor total])</f>
        <v>14400</v>
      </c>
      <c r="H34" s="8">
        <f>SUBTOTAL(109,Rede_Minimo8101123[Custo spazio])</f>
        <v>28458.78</v>
      </c>
    </row>
    <row r="35" spans="2:10" x14ac:dyDescent="0.25">
      <c r="H35" s="2"/>
    </row>
    <row r="36" spans="2:10" x14ac:dyDescent="0.25">
      <c r="B36" s="17" t="s">
        <v>65</v>
      </c>
      <c r="C36" s="17"/>
      <c r="D36" s="17"/>
      <c r="E36" s="17"/>
      <c r="F36" s="17"/>
      <c r="G36" s="17"/>
      <c r="H36" s="17"/>
    </row>
    <row r="37" spans="2:10" x14ac:dyDescent="0.25">
      <c r="B37" t="s">
        <v>0</v>
      </c>
      <c r="C37" t="s">
        <v>1</v>
      </c>
      <c r="D37" t="s">
        <v>32</v>
      </c>
      <c r="E37" t="s">
        <v>36</v>
      </c>
      <c r="F37" t="s">
        <v>3</v>
      </c>
      <c r="G37" t="s">
        <v>38</v>
      </c>
      <c r="H37" t="s">
        <v>50</v>
      </c>
      <c r="I37" t="s">
        <v>6</v>
      </c>
      <c r="J37" t="s">
        <v>62</v>
      </c>
    </row>
    <row r="38" spans="2:10" x14ac:dyDescent="0.25">
      <c r="B38" t="s">
        <v>66</v>
      </c>
      <c r="C38">
        <v>14</v>
      </c>
      <c r="D38" t="s">
        <v>57</v>
      </c>
      <c r="E38">
        <v>18</v>
      </c>
      <c r="F38" s="7">
        <v>104.42</v>
      </c>
      <c r="G38" s="7">
        <f>F38*E38</f>
        <v>1879.56</v>
      </c>
      <c r="H38" s="8">
        <v>8016.72</v>
      </c>
      <c r="I38" s="2" t="s">
        <v>69</v>
      </c>
    </row>
    <row r="39" spans="2:10" x14ac:dyDescent="0.25">
      <c r="F39" s="7"/>
      <c r="G39" s="7"/>
      <c r="H39" s="8"/>
      <c r="I39" s="4"/>
    </row>
    <row r="40" spans="2:10" x14ac:dyDescent="0.25">
      <c r="F40" s="7"/>
      <c r="G40" s="7"/>
      <c r="H40" s="8"/>
      <c r="I40" s="2"/>
    </row>
    <row r="41" spans="2:10" x14ac:dyDescent="0.25">
      <c r="F41" s="7"/>
      <c r="G41" s="7"/>
      <c r="H41" s="8"/>
      <c r="I41" s="2"/>
    </row>
    <row r="42" spans="2:10" x14ac:dyDescent="0.25">
      <c r="B42" t="s">
        <v>43</v>
      </c>
      <c r="G42" s="7">
        <f>SUBTOTAL(109,Rede_Minimo810121424[Valor total])</f>
        <v>1879.56</v>
      </c>
      <c r="H42" s="8">
        <f>SUBTOTAL(109,Rede_Minimo810121424[Custo spazio])</f>
        <v>8016.72</v>
      </c>
    </row>
    <row r="43" spans="2:10" x14ac:dyDescent="0.25">
      <c r="H43" s="2"/>
    </row>
    <row r="44" spans="2:10" x14ac:dyDescent="0.25">
      <c r="H44" s="2"/>
    </row>
    <row r="45" spans="2:10" x14ac:dyDescent="0.25">
      <c r="B45" s="17" t="s">
        <v>67</v>
      </c>
      <c r="C45" s="17"/>
      <c r="D45" s="17"/>
      <c r="E45" s="17"/>
      <c r="F45" s="17"/>
      <c r="G45" s="17"/>
      <c r="H45" s="17"/>
    </row>
    <row r="46" spans="2:10" x14ac:dyDescent="0.25">
      <c r="B46" t="s">
        <v>0</v>
      </c>
      <c r="C46" t="s">
        <v>1</v>
      </c>
      <c r="D46" t="s">
        <v>32</v>
      </c>
      <c r="E46" t="s">
        <v>36</v>
      </c>
      <c r="F46" t="s">
        <v>3</v>
      </c>
      <c r="G46" t="s">
        <v>38</v>
      </c>
      <c r="H46" t="s">
        <v>50</v>
      </c>
      <c r="I46" t="s">
        <v>6</v>
      </c>
      <c r="J46" t="s">
        <v>62</v>
      </c>
    </row>
    <row r="47" spans="2:10" x14ac:dyDescent="0.25">
      <c r="B47" t="s">
        <v>64</v>
      </c>
      <c r="C47">
        <v>15</v>
      </c>
      <c r="D47" t="s">
        <v>68</v>
      </c>
      <c r="E47" s="10">
        <v>8</v>
      </c>
      <c r="F47" s="7">
        <v>193.15</v>
      </c>
      <c r="G47" s="7">
        <f>F47*E47</f>
        <v>1545.2</v>
      </c>
      <c r="H47" s="8">
        <v>4115.47</v>
      </c>
      <c r="I47" s="4" t="s">
        <v>70</v>
      </c>
    </row>
    <row r="48" spans="2:10" x14ac:dyDescent="0.25">
      <c r="F48" s="7"/>
      <c r="G48" s="7"/>
      <c r="H48" s="8"/>
      <c r="I48" s="4"/>
    </row>
    <row r="49" spans="2:9" x14ac:dyDescent="0.25">
      <c r="F49" s="7"/>
      <c r="G49" s="7"/>
      <c r="H49" s="8"/>
      <c r="I49" s="2"/>
    </row>
    <row r="50" spans="2:9" x14ac:dyDescent="0.25">
      <c r="F50" s="7"/>
      <c r="G50" s="7"/>
      <c r="H50" s="8"/>
      <c r="I50" s="2"/>
    </row>
    <row r="51" spans="2:9" x14ac:dyDescent="0.25">
      <c r="B51" t="s">
        <v>43</v>
      </c>
      <c r="G51" s="7">
        <f>SUBTOTAL(109,Rede_Minimo81012131525[Valor total])</f>
        <v>1545.2</v>
      </c>
      <c r="H51" s="8">
        <f>SUBTOTAL(109,Rede_Minimo81012131525[Custo spazio])</f>
        <v>4115.47</v>
      </c>
    </row>
    <row r="52" spans="2:9" x14ac:dyDescent="0.25">
      <c r="H52" s="2"/>
    </row>
    <row r="53" spans="2:9" x14ac:dyDescent="0.25">
      <c r="H53" s="2"/>
    </row>
    <row r="54" spans="2:9" x14ac:dyDescent="0.25">
      <c r="B54" s="17" t="s">
        <v>71</v>
      </c>
      <c r="C54" s="17"/>
      <c r="D54" s="17"/>
      <c r="E54" s="17"/>
      <c r="F54" s="17"/>
      <c r="G54" s="17"/>
      <c r="H54" s="17"/>
    </row>
    <row r="55" spans="2:9" x14ac:dyDescent="0.25">
      <c r="B55" t="s">
        <v>0</v>
      </c>
      <c r="C55" t="s">
        <v>1</v>
      </c>
      <c r="D55" t="s">
        <v>32</v>
      </c>
      <c r="E55" t="s">
        <v>36</v>
      </c>
      <c r="F55" t="s">
        <v>3</v>
      </c>
      <c r="G55" t="s">
        <v>38</v>
      </c>
      <c r="H55" t="s">
        <v>50</v>
      </c>
      <c r="I55" t="s">
        <v>6</v>
      </c>
    </row>
    <row r="56" spans="2:9" x14ac:dyDescent="0.25">
      <c r="B56" t="s">
        <v>66</v>
      </c>
      <c r="C56">
        <v>16</v>
      </c>
      <c r="D56" t="s">
        <v>57</v>
      </c>
      <c r="E56">
        <v>4</v>
      </c>
      <c r="F56" s="7">
        <v>104.42</v>
      </c>
      <c r="G56" s="7">
        <f>F56*E56</f>
        <v>417.68</v>
      </c>
      <c r="H56" s="8">
        <v>1781.49</v>
      </c>
      <c r="I56" s="2" t="s">
        <v>69</v>
      </c>
    </row>
    <row r="57" spans="2:9" x14ac:dyDescent="0.25">
      <c r="F57" s="7"/>
      <c r="G57" s="7"/>
      <c r="H57" s="8"/>
      <c r="I57" s="4"/>
    </row>
    <row r="58" spans="2:9" x14ac:dyDescent="0.25">
      <c r="F58" s="7"/>
      <c r="G58" s="7"/>
      <c r="H58" s="8"/>
      <c r="I58" s="2"/>
    </row>
    <row r="59" spans="2:9" x14ac:dyDescent="0.25">
      <c r="F59" s="7"/>
      <c r="G59" s="7"/>
      <c r="H59" s="8"/>
      <c r="I59" s="2"/>
    </row>
    <row r="60" spans="2:9" x14ac:dyDescent="0.25">
      <c r="B60" t="s">
        <v>43</v>
      </c>
      <c r="G60" s="7">
        <f>SUBTOTAL(109,Rede_Minimo8101213161726[Valor total])</f>
        <v>417.68</v>
      </c>
      <c r="H60" s="8">
        <f>SUBTOTAL(109,Rede_Minimo8101213161726[Custo spazio])</f>
        <v>1781.49</v>
      </c>
    </row>
    <row r="61" spans="2:9" x14ac:dyDescent="0.25">
      <c r="H61" s="2"/>
    </row>
    <row r="62" spans="2:9" x14ac:dyDescent="0.25">
      <c r="H62" s="2"/>
    </row>
    <row r="63" spans="2:9" x14ac:dyDescent="0.25">
      <c r="B63" s="17" t="s">
        <v>72</v>
      </c>
      <c r="C63" s="17"/>
      <c r="D63" s="17"/>
      <c r="E63" s="17"/>
      <c r="F63" s="17"/>
      <c r="G63" s="17"/>
      <c r="H63" s="17"/>
    </row>
    <row r="64" spans="2:9" x14ac:dyDescent="0.25">
      <c r="B64" t="s">
        <v>0</v>
      </c>
      <c r="C64" t="s">
        <v>1</v>
      </c>
      <c r="D64" t="s">
        <v>32</v>
      </c>
      <c r="E64" t="s">
        <v>36</v>
      </c>
      <c r="F64" t="s">
        <v>3</v>
      </c>
      <c r="G64" t="s">
        <v>38</v>
      </c>
      <c r="H64" t="s">
        <v>50</v>
      </c>
      <c r="I64" t="s">
        <v>6</v>
      </c>
    </row>
    <row r="65" spans="2:9" x14ac:dyDescent="0.25">
      <c r="B65" t="s">
        <v>66</v>
      </c>
      <c r="C65">
        <v>17</v>
      </c>
      <c r="D65" t="s">
        <v>57</v>
      </c>
      <c r="E65">
        <v>10</v>
      </c>
      <c r="F65" s="7">
        <v>104.42</v>
      </c>
      <c r="G65" s="7">
        <f>F65*E65</f>
        <v>1044.2</v>
      </c>
      <c r="H65" s="8">
        <v>4453.7299999999996</v>
      </c>
      <c r="I65" s="2" t="s">
        <v>69</v>
      </c>
    </row>
    <row r="66" spans="2:9" x14ac:dyDescent="0.25">
      <c r="F66" s="7"/>
      <c r="G66" s="7"/>
      <c r="H66" s="8"/>
      <c r="I66" s="4"/>
    </row>
    <row r="67" spans="2:9" x14ac:dyDescent="0.25">
      <c r="F67" s="7"/>
      <c r="G67" s="7"/>
      <c r="H67" s="8"/>
      <c r="I67" s="2"/>
    </row>
    <row r="68" spans="2:9" x14ac:dyDescent="0.25">
      <c r="F68" s="7"/>
      <c r="G68" s="7"/>
      <c r="H68" s="8"/>
      <c r="I68" s="2"/>
    </row>
    <row r="69" spans="2:9" x14ac:dyDescent="0.25">
      <c r="B69" t="s">
        <v>43</v>
      </c>
      <c r="G69" s="7">
        <f>SUBTOTAL(109,Rede_Minimo810121316181927[Valor total])</f>
        <v>1044.2</v>
      </c>
      <c r="H69" s="8">
        <f>SUBTOTAL(109,Rede_Minimo810121316181927[Custo spazio])</f>
        <v>4453.7299999999996</v>
      </c>
    </row>
    <row r="70" spans="2:9" x14ac:dyDescent="0.25">
      <c r="H70" s="2"/>
    </row>
    <row r="71" spans="2:9" x14ac:dyDescent="0.25">
      <c r="G71" t="s">
        <v>75</v>
      </c>
      <c r="H71" s="2" t="s">
        <v>76</v>
      </c>
    </row>
    <row r="72" spans="2:9" x14ac:dyDescent="0.25">
      <c r="F72" s="13" t="s">
        <v>74</v>
      </c>
      <c r="G72" s="11">
        <f>Rede_Minimo810121316181927[[#Totals],[Valor total]]+Rede_Minimo8101213161726[[#Totals],[Valor total]]+Rede_Minimo81012131525[[#Totals],[Valor total]]+Rede_Minimo810121424[[#Totals],[Valor total]]+Rede_Minimo8101123[[#Totals],[Valor total]]+Rede_Minimo8922[[#Totals],[Valor total]]+Rede_Melhor20[[#Totals],[Valor total]]+Tabela421[[#Totals],[Valor total]]</f>
        <v>29193.43</v>
      </c>
      <c r="H72" s="8">
        <f>Rede_Minimo810121316181927[[#Totals],[Custo spazio]]+Rede_Minimo8101213161726[[#Totals],[Custo spazio]]+Rede_Minimo81012131525[[#Totals],[Custo spazio]]+Rede_Minimo810121424[[#Totals],[Custo spazio]]+Rede_Minimo8101123[[#Totals],[Custo spazio]]+Rede_Minimo8922[[#Totals],[Custo spazio]]+Rede_Melhor20[[#Totals],[Custo spazio]]+Tabela421[[#Totals],[Custo Spazio]]</f>
        <v>88370.25</v>
      </c>
    </row>
    <row r="73" spans="2:9" x14ac:dyDescent="0.25">
      <c r="F73" s="14" t="s">
        <v>79</v>
      </c>
      <c r="G73" s="15">
        <f>Persianas_Minimo[[#Totals],[Toni]]+Iluminacao_Minimo[[#Totals],[Toni]]+Quadro_Eletrico_Minimo[[#Totals],[Toni]]+Rede_Minimo[[#Totals],[Toni]]+Tabela6[[#Totals],[Toni]]</f>
        <v>13781.900000000001</v>
      </c>
      <c r="H73" s="15">
        <f>Piso_Minimo[[#Totals],[Custo spazio]]+Sauna_Minimo[[#Totals],[Custo spazio]]+AC_Minimo[[#Totals],[Custo spazio]]+Persianas_Minimo[[#Totals],[Custo spazio]]+Iluminacao_Minimo[[#Totals],[Custo spazio]]+Quadro_Eletrico_Minimo[[#Totals],[Custo spazio]]+Rede_Minimo[[#Totals],[Custo spazio]]+Tabela6[[#Totals],[Custo spazio]]</f>
        <v>88370.25</v>
      </c>
    </row>
    <row r="74" spans="2:9" x14ac:dyDescent="0.25">
      <c r="F74" s="13" t="s">
        <v>77</v>
      </c>
      <c r="G74" s="11">
        <f>30000</f>
        <v>30000</v>
      </c>
      <c r="H74" s="12">
        <f>110000-H73</f>
        <v>21629.75</v>
      </c>
    </row>
    <row r="75" spans="2:9" x14ac:dyDescent="0.25">
      <c r="F75" s="13" t="s">
        <v>73</v>
      </c>
      <c r="G75" s="11">
        <f>G74+G73+G72</f>
        <v>72975.33</v>
      </c>
      <c r="H75" s="12">
        <f>H74+H73</f>
        <v>110000</v>
      </c>
    </row>
  </sheetData>
  <mergeCells count="9">
    <mergeCell ref="B45:H45"/>
    <mergeCell ref="B54:H54"/>
    <mergeCell ref="B63:H63"/>
    <mergeCell ref="B1:F1"/>
    <mergeCell ref="B2:H2"/>
    <mergeCell ref="B9:H9"/>
    <mergeCell ref="B20:H20"/>
    <mergeCell ref="B28:H28"/>
    <mergeCell ref="B36:H36"/>
  </mergeCells>
  <hyperlinks>
    <hyperlink ref="I31" r:id="rId1" display="https://pt.aliexpress.com/item/1005006034155491.html?spm=a2g0o.productlist.main.7.5c0d4e97qb7Zvw&amp;algo_pvid=227a205a-9506-455d-95d6-b9feec3176c6&amp;aem_p4p_detail=202412160555333614392235510520004078271&amp;algo_exp_id=227a205a-9506-455d-95d6-b9feec3176c6-3&amp;pdp_npi=4%40dis%21BRL%21235.47%21122.44%21%21%21270.16%21140.48%21%402101c5b117343573333041234e0472%2112000035421704002%21sea%21BR%21133207410%21X&amp;curPageLogUid=RlKLBwG9ajdq&amp;utparam-url=scene%3Asearch%7Cquery_from%3A&amp;search_p4p_id=202412160555333614392235510520004078271_1" xr:uid="{D82CBBFF-EA37-4012-9867-A49F06F11E59}"/>
    <hyperlink ref="I47" r:id="rId2" display="https://pt.aliexpress.com/item/1005003123347295.html?spm=a2g0o.productlist.main.3.16cb57ebYfUiKf&amp;algo_pvid=6b664e41-df60-415b-8526-1938216df176&amp;algo_exp_id=6b664e41-df60-415b-8526-1938216df176-1&amp;pdp_npi=4%40dis%21BRL%21165.38%21109.15%21%21%2126.03%2117.18%21%40210313e917343577423101471e9b28%2112000024257381198%21sea%21BR%21133207410%21X&amp;curPageLogUid=0sVZ8e77lKMh&amp;utparam-url=scene%3Asearch%7Cquery_from%3A" xr:uid="{2EEC5BA9-24D0-4709-A308-361F9EC6FD33}"/>
    <hyperlink ref="I14" r:id="rId3" location="polycard_client=search-nordic&amp;wid=MLB3902952127&amp;sid=search&amp;searchVariation=MLB27121973&amp;position=2&amp;search_layout=grid&amp;type=product&amp;tracking_id=30b7fab2-764e-4923-82fa-448b98d62786" display="https://www.mercadolivre.com.br/patch-panel-cat6-24p-linkeo-legrand-632841/p/MLB27121973#polycard_client=search-nordic&amp;wid=MLB3902952127&amp;sid=search&amp;searchVariation=MLB27121973&amp;position=2&amp;search_layout=grid&amp;type=product&amp;tracking_id=30b7fab2-764e-4923-82fa-448b98d62786" xr:uid="{CAF25EA5-17D2-499E-BE70-F2003DEE5B62}"/>
  </hyperlinks>
  <pageMargins left="0.511811024" right="0.511811024" top="0.78740157499999996" bottom="0.78740157499999996" header="0.31496062000000002" footer="0.31496062000000002"/>
  <tableParts count="8"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9CF4-768F-48FC-A241-6CA93E0D5563}">
  <dimension ref="B2:F4"/>
  <sheetViews>
    <sheetView tabSelected="1" workbookViewId="0">
      <selection activeCell="I4" sqref="I4"/>
    </sheetView>
  </sheetViews>
  <sheetFormatPr defaultRowHeight="15" x14ac:dyDescent="0.25"/>
  <cols>
    <col min="2" max="2" width="10.7109375" bestFit="1" customWidth="1"/>
    <col min="3" max="3" width="13.42578125" bestFit="1" customWidth="1"/>
    <col min="4" max="4" width="22.5703125" bestFit="1" customWidth="1"/>
    <col min="5" max="5" width="10.7109375" bestFit="1" customWidth="1"/>
    <col min="6" max="6" width="15.7109375" bestFit="1" customWidth="1"/>
  </cols>
  <sheetData>
    <row r="2" spans="2:6" x14ac:dyDescent="0.25">
      <c r="B2" s="13" t="s">
        <v>80</v>
      </c>
      <c r="C2" s="13" t="s">
        <v>81</v>
      </c>
      <c r="D2" s="13" t="s">
        <v>82</v>
      </c>
      <c r="E2" s="13" t="s">
        <v>3</v>
      </c>
      <c r="F2" s="13" t="s">
        <v>83</v>
      </c>
    </row>
    <row r="3" spans="2:6" x14ac:dyDescent="0.25">
      <c r="B3" s="19">
        <v>45693</v>
      </c>
      <c r="C3" s="13" t="s">
        <v>84</v>
      </c>
      <c r="D3" s="13" t="s">
        <v>85</v>
      </c>
      <c r="E3" s="16">
        <v>215</v>
      </c>
      <c r="F3" s="13" t="s">
        <v>75</v>
      </c>
    </row>
    <row r="4" spans="2:6" x14ac:dyDescent="0.25">
      <c r="B4" s="19">
        <v>45700</v>
      </c>
      <c r="C4" s="13" t="s">
        <v>84</v>
      </c>
      <c r="D4" s="13" t="s">
        <v>86</v>
      </c>
      <c r="E4" s="16">
        <v>1960</v>
      </c>
      <c r="F4" s="13" t="s">
        <v>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Mínimo Recomendado</vt:lpstr>
      <vt:lpstr>HIGH END</vt:lpstr>
      <vt:lpstr>O que eu botaria</vt:lpstr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Tonietto</dc:creator>
  <cp:lastModifiedBy>Felipe Tonietto</cp:lastModifiedBy>
  <dcterms:created xsi:type="dcterms:W3CDTF">2024-12-16T13:03:25Z</dcterms:created>
  <dcterms:modified xsi:type="dcterms:W3CDTF">2025-02-12T12:13:05Z</dcterms:modified>
</cp:coreProperties>
</file>