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lip\Downloads\Guila-s-1\O_que_estava_no_drive\Projetos Massimo\"/>
    </mc:Choice>
  </mc:AlternateContent>
  <xr:revisionPtr revIDLastSave="0" documentId="13_ncr:1_{41D8DE1C-59A1-4994-AC14-B332032AD7E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DOS PAVIMENTO SUPERIOR" sheetId="1" r:id="rId1"/>
    <sheet name="DADOS PAVIMENTO INFERIOR" sheetId="2" r:id="rId2"/>
    <sheet name="Planilha2" sheetId="3" r:id="rId3"/>
    <sheet name="Planilha1" sheetId="4" r:id="rId4"/>
  </sheets>
  <calcPr calcId="191029"/>
  <pivotCaches>
    <pivotCache cacheId="5" r:id="rId5"/>
    <pivotCache cacheId="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TAELYB0sRt8dmNm2e0snMjIM847BFSFwW1OT+0ew2aY="/>
    </ext>
  </extLst>
</workbook>
</file>

<file path=xl/calcChain.xml><?xml version="1.0" encoding="utf-8"?>
<calcChain xmlns="http://schemas.openxmlformats.org/spreadsheetml/2006/main">
  <c r="G7" i="3" l="1"/>
  <c r="G6" i="3"/>
  <c r="G5" i="3"/>
  <c r="G4" i="3"/>
  <c r="L18" i="2"/>
  <c r="K18" i="2"/>
  <c r="I18" i="2"/>
  <c r="L17" i="2"/>
  <c r="K17" i="2"/>
  <c r="I17" i="2"/>
  <c r="L16" i="2"/>
  <c r="K16" i="2"/>
  <c r="I16" i="2"/>
  <c r="L15" i="2"/>
  <c r="K15" i="2"/>
  <c r="I15" i="2"/>
  <c r="L14" i="2"/>
  <c r="K14" i="2"/>
  <c r="I14" i="2"/>
  <c r="L13" i="2"/>
  <c r="K13" i="2"/>
  <c r="I13" i="2"/>
  <c r="L12" i="2"/>
  <c r="K12" i="2"/>
  <c r="I12" i="2"/>
  <c r="L11" i="2"/>
  <c r="K11" i="2"/>
  <c r="I11" i="2"/>
  <c r="L10" i="2"/>
  <c r="K10" i="2"/>
  <c r="I10" i="2"/>
  <c r="L9" i="2"/>
  <c r="K9" i="2"/>
  <c r="I9" i="2"/>
  <c r="L8" i="2"/>
  <c r="K8" i="2"/>
  <c r="I8" i="2"/>
  <c r="L7" i="2"/>
  <c r="K7" i="2"/>
  <c r="I7" i="2"/>
  <c r="L6" i="2"/>
  <c r="K6" i="2"/>
  <c r="I6" i="2"/>
  <c r="L5" i="2"/>
  <c r="K5" i="2"/>
  <c r="I5" i="2"/>
  <c r="L4" i="2"/>
  <c r="L20" i="2" s="1"/>
  <c r="K4" i="2"/>
  <c r="K20" i="2" s="1"/>
  <c r="I4" i="2"/>
  <c r="L21" i="1"/>
  <c r="K21" i="1"/>
  <c r="I21" i="1"/>
  <c r="L20" i="1"/>
  <c r="K20" i="1"/>
  <c r="I20" i="1"/>
  <c r="L19" i="1"/>
  <c r="K19" i="1"/>
  <c r="I19" i="1"/>
  <c r="L18" i="1"/>
  <c r="K18" i="1"/>
  <c r="I18" i="1"/>
  <c r="L17" i="1"/>
  <c r="K17" i="1"/>
  <c r="I17" i="1"/>
  <c r="L16" i="1"/>
  <c r="K16" i="1"/>
  <c r="I16" i="1"/>
  <c r="L15" i="1"/>
  <c r="K15" i="1"/>
  <c r="I15" i="1"/>
  <c r="L14" i="1"/>
  <c r="K14" i="1"/>
  <c r="I14" i="1"/>
  <c r="L13" i="1"/>
  <c r="K13" i="1"/>
  <c r="I13" i="1"/>
  <c r="L12" i="1"/>
  <c r="K12" i="1"/>
  <c r="I12" i="1"/>
  <c r="L11" i="1"/>
  <c r="K11" i="1"/>
  <c r="I11" i="1"/>
  <c r="L10" i="1"/>
  <c r="K10" i="1"/>
  <c r="I10" i="1"/>
  <c r="L9" i="1"/>
  <c r="K9" i="1"/>
  <c r="I9" i="1"/>
  <c r="L8" i="1"/>
  <c r="K8" i="1"/>
  <c r="I8" i="1"/>
  <c r="L7" i="1"/>
  <c r="K7" i="1"/>
  <c r="I7" i="1"/>
  <c r="L6" i="1"/>
  <c r="K6" i="1"/>
  <c r="I6" i="1"/>
  <c r="L5" i="1"/>
  <c r="K5" i="1"/>
  <c r="I5" i="1"/>
  <c r="L4" i="1"/>
  <c r="L23" i="1" s="1"/>
  <c r="K4" i="1"/>
  <c r="K23" i="1" s="1"/>
  <c r="I4" i="1"/>
</calcChain>
</file>

<file path=xl/sharedStrings.xml><?xml version="1.0" encoding="utf-8"?>
<sst xmlns="http://schemas.openxmlformats.org/spreadsheetml/2006/main" count="124" uniqueCount="72">
  <si>
    <t>PAVIMENTO SUPERIOR</t>
  </si>
  <si>
    <t>ETIQUETA</t>
  </si>
  <si>
    <t>DE ONDE</t>
  </si>
  <si>
    <t>PARA ONDE</t>
  </si>
  <si>
    <t>CICRUITO</t>
  </si>
  <si>
    <t>METRAGEM</t>
  </si>
  <si>
    <t>circuitos</t>
  </si>
  <si>
    <t>bus</t>
  </si>
  <si>
    <t>tensão</t>
  </si>
  <si>
    <t>total</t>
  </si>
  <si>
    <t>cabo</t>
  </si>
  <si>
    <t>R$ cobre</t>
  </si>
  <si>
    <t>R$ alumínio</t>
  </si>
  <si>
    <t>22awg cobre</t>
  </si>
  <si>
    <t>22awg alum</t>
  </si>
  <si>
    <t>INT 1</t>
  </si>
  <si>
    <t>CAIXA INT 1</t>
  </si>
  <si>
    <t>42,45,46,47,48,49</t>
  </si>
  <si>
    <t>INT 2</t>
  </si>
  <si>
    <t>39,40,41,42,44</t>
  </si>
  <si>
    <t>INT 3</t>
  </si>
  <si>
    <t>INT 4</t>
  </si>
  <si>
    <t>INT 5</t>
  </si>
  <si>
    <t>INT 6</t>
  </si>
  <si>
    <t>CAIXA PRINCIPAL</t>
  </si>
  <si>
    <t>INT 7</t>
  </si>
  <si>
    <t>CAIXA INT 2</t>
  </si>
  <si>
    <t>31,32,33,35</t>
  </si>
  <si>
    <t>INT 8</t>
  </si>
  <si>
    <t>INT 9</t>
  </si>
  <si>
    <t>31,32,33,4</t>
  </si>
  <si>
    <t>INT 10</t>
  </si>
  <si>
    <t>36,37,38</t>
  </si>
  <si>
    <t>INT 11</t>
  </si>
  <si>
    <t>INT 12</t>
  </si>
  <si>
    <t>INT 13</t>
  </si>
  <si>
    <t>INT 14</t>
  </si>
  <si>
    <t>CAIXA INT 3</t>
  </si>
  <si>
    <t>24,25,26,27</t>
  </si>
  <si>
    <t>INT 15</t>
  </si>
  <si>
    <t>INT 16</t>
  </si>
  <si>
    <t>PAVIMENTO INFERIOR</t>
  </si>
  <si>
    <t>Etiqueta</t>
  </si>
  <si>
    <t>CIRCUITOS</t>
  </si>
  <si>
    <t>OBSERVAÇÃO</t>
  </si>
  <si>
    <t>INT 21</t>
  </si>
  <si>
    <t>CAIXA PRINCIPAL T</t>
  </si>
  <si>
    <t>INT 22</t>
  </si>
  <si>
    <t>13,14,15,16,17,20</t>
  </si>
  <si>
    <t>INT 23</t>
  </si>
  <si>
    <t>INT 24</t>
  </si>
  <si>
    <t>INT 25</t>
  </si>
  <si>
    <t>INT 26</t>
  </si>
  <si>
    <t>13,14,15,16,17,50</t>
  </si>
  <si>
    <t>INT 27</t>
  </si>
  <si>
    <t>INT 28</t>
  </si>
  <si>
    <t>7,8,9</t>
  </si>
  <si>
    <t>INT 29</t>
  </si>
  <si>
    <t>12,13,14,15,16</t>
  </si>
  <si>
    <t>INT 30</t>
  </si>
  <si>
    <t>18,19,20,17,16,21</t>
  </si>
  <si>
    <t>INT 31</t>
  </si>
  <si>
    <t>INT 32</t>
  </si>
  <si>
    <t>INT 33</t>
  </si>
  <si>
    <t>1,2,3</t>
  </si>
  <si>
    <t>INT 35</t>
  </si>
  <si>
    <t>16,17,18,19,21,22</t>
  </si>
  <si>
    <t>Soma de METRAGEM</t>
  </si>
  <si>
    <t>Total Geral</t>
  </si>
  <si>
    <t>INFERIOR</t>
  </si>
  <si>
    <t>SUPERIOR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</si>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</sst>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8" formatCode="&quot;R$&quot;\ #,##0.00;[Red]\-&quot;R$&quot;\ #,##0.00"/>
  </numFmts>
  <fonts count="7" x14ac:knownFonts="1">
    <font>
      <sz val="11"/>
      <color rgb="FF000000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8" fontId="1" fillId="0" borderId="0" xfId="0" applyNumberFormat="1" applyFont="1"/>
    <xf numFmtId="0" fontId="0" fillId="0" borderId="4" xfId="0" pivotButton="1" applyBorder="1"/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5" xfId="0" applyNumberFormat="1" applyBorder="1"/>
    <xf numFmtId="0" fontId="0" fillId="0" borderId="7" xfId="0" applyNumberFormat="1" applyBorder="1"/>
    <xf numFmtId="0" fontId="0" fillId="0" borderId="9" xfId="0" applyNumberFormat="1" applyBorder="1"/>
  </cellXfs>
  <cellStyles count="1">
    <cellStyle name="Normal" xfId="0" builtinId="0"/>
  </cellStyles>
  <dxfs count="6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2">
    <tableStyle name="DADOS PAVIMENTO SUPERIOR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DADOS PAVIMENTO INFERIOR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elipe Tonietto" refreshedDate="46041.717365972225" refreshedVersion="8" recordCount="18" xr:uid="{00000000-000A-0000-FFFF-FFFF01000000}">
  <cacheSource type="worksheet">
    <worksheetSource ref="B3:L21" sheet="DADOS PAVIMENTO SUPERIOR"/>
  </cacheSource>
  <cacheFields count="11">
    <cacheField name="DE ONDE" numFmtId="0">
      <sharedItems/>
    </cacheField>
    <cacheField name="PARA ONDE" numFmtId="0">
      <sharedItems/>
    </cacheField>
    <cacheField name="CICRUITO" numFmtId="0">
      <sharedItems containsBlank="1" containsMixedTypes="1" containsNumber="1" minValue="22.23" maxValue="50"/>
    </cacheField>
    <cacheField name="METRAGEM" numFmtId="0">
      <sharedItems containsSemiMixedTypes="0" containsString="0" containsNumber="1" minValue="5" maxValue="9.75"/>
    </cacheField>
    <cacheField name="circuitos" numFmtId="0">
      <sharedItems containsSemiMixedTypes="0" containsString="0" containsNumber="1" containsInteger="1" minValue="1" maxValue="10"/>
    </cacheField>
    <cacheField name="bus" numFmtId="0">
      <sharedItems containsSemiMixedTypes="0" containsString="0" containsNumber="1" containsInteger="1" minValue="2" maxValue="2"/>
    </cacheField>
    <cacheField name="tensão" numFmtId="0">
      <sharedItems containsSemiMixedTypes="0" containsString="0" containsNumber="1" containsInteger="1" minValue="3" maxValue="3"/>
    </cacheField>
    <cacheField name="total" numFmtId="0">
      <sharedItems containsSemiMixedTypes="0" containsString="0" containsNumber="1" containsInteger="1" minValue="6" maxValue="15"/>
    </cacheField>
    <cacheField name="cabo" numFmtId="0">
      <sharedItems containsSemiMixedTypes="0" containsString="0" containsNumber="1" containsInteger="1" minValue="6" maxValue="20" count="6">
        <n v="12"/>
        <n v="10"/>
        <n v="6"/>
        <n v="20"/>
        <n v="8"/>
        <n v="16"/>
      </sharedItems>
    </cacheField>
    <cacheField name="R$ cobre" numFmtId="8">
      <sharedItems containsSemiMixedTypes="0" containsString="0" containsNumber="1" minValue="44.88" maxValue="158.54999999999998"/>
    </cacheField>
    <cacheField name="R$ alumínio" numFmtId="8">
      <sharedItems containsSemiMixedTypes="0" containsString="0" containsNumber="1" minValue="37.4" maxValue="132.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elipe Tonietto" refreshedDate="46041.717366319448" refreshedVersion="8" recordCount="15" xr:uid="{00000000-000A-0000-FFFF-FFFF00000000}">
  <cacheSource type="worksheet">
    <worksheetSource ref="B3:L18" sheet="DADOS PAVIMENTO INFERIOR"/>
  </cacheSource>
  <cacheFields count="11">
    <cacheField name="DE ONDE" numFmtId="0">
      <sharedItems/>
    </cacheField>
    <cacheField name="PARA ONDE" numFmtId="0">
      <sharedItems/>
    </cacheField>
    <cacheField name="CIRCUITOS" numFmtId="0">
      <sharedItems containsMixedTypes="1" containsNumber="1" minValue="4" maxValue="11"/>
    </cacheField>
    <cacheField name="METRAGEM" numFmtId="0">
      <sharedItems containsString="0" containsBlank="1" containsNumber="1" minValue="0.1" maxValue="14"/>
    </cacheField>
    <cacheField name="OBSERVAÇÃO" numFmtId="0">
      <sharedItems containsSemiMixedTypes="0" containsString="0" containsNumber="1" containsInteger="1" minValue="1" maxValue="6"/>
    </cacheField>
    <cacheField name="bus" numFmtId="0">
      <sharedItems containsSemiMixedTypes="0" containsString="0" containsNumber="1" containsInteger="1" minValue="2" maxValue="2"/>
    </cacheField>
    <cacheField name="tensão" numFmtId="0">
      <sharedItems containsSemiMixedTypes="0" containsString="0" containsNumber="1" containsInteger="1" minValue="3" maxValue="3"/>
    </cacheField>
    <cacheField name="total" numFmtId="0">
      <sharedItems containsSemiMixedTypes="0" containsString="0" containsNumber="1" containsInteger="1" minValue="6" maxValue="11"/>
    </cacheField>
    <cacheField name="cabo" numFmtId="0">
      <sharedItems containsSemiMixedTypes="0" containsString="0" containsNumber="1" containsInteger="1" minValue="6" maxValue="12" count="4">
        <n v="6"/>
        <n v="12"/>
        <n v="8"/>
        <n v="10"/>
      </sharedItems>
    </cacheField>
    <cacheField name="R$ cobre" numFmtId="0">
      <sharedItems containsSemiMixedTypes="0" containsString="0" containsNumber="1" minValue="0" maxValue="183.56"/>
    </cacheField>
    <cacheField name="R$ alumínio" numFmtId="0">
      <sharedItems containsSemiMixedTypes="0" containsString="0" containsNumber="1" minValue="0" maxValue="155.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INT 1"/>
    <s v="CAIXA INT 1"/>
    <s v="42,45,46,47,48,49"/>
    <n v="9.5"/>
    <n v="6"/>
    <n v="2"/>
    <n v="3"/>
    <n v="11"/>
    <x v="0"/>
    <n v="134.13999999999999"/>
    <n v="113.33499999999999"/>
  </r>
  <r>
    <s v="INT 2"/>
    <s v="CAIXA INT 1"/>
    <s v="39,40,41,42,44"/>
    <n v="9.5"/>
    <n v="5"/>
    <n v="2"/>
    <n v="3"/>
    <n v="10"/>
    <x v="1"/>
    <n v="116.565"/>
    <n v="98.04"/>
  </r>
  <r>
    <s v="INT 3"/>
    <s v="CAIXA INT 1"/>
    <n v="50"/>
    <n v="8"/>
    <n v="1"/>
    <n v="2"/>
    <n v="3"/>
    <n v="6"/>
    <x v="2"/>
    <n v="65.28"/>
    <n v="54.4"/>
  </r>
  <r>
    <s v="INT 4"/>
    <s v="CAIXA INT 1"/>
    <n v="42"/>
    <n v="8"/>
    <n v="1"/>
    <n v="2"/>
    <n v="3"/>
    <n v="6"/>
    <x v="2"/>
    <n v="65.28"/>
    <n v="54.4"/>
  </r>
  <r>
    <s v="INT 5"/>
    <s v="CAIXA INT 1"/>
    <s v="42,45,46,47,48,49"/>
    <n v="6.5"/>
    <n v="6"/>
    <n v="2"/>
    <n v="3"/>
    <n v="11"/>
    <x v="0"/>
    <n v="91.78"/>
    <n v="77.545000000000002"/>
  </r>
  <r>
    <s v="INT 6"/>
    <s v="CAIXA INT 1"/>
    <s v="42,45,46,47,48,49"/>
    <n v="6.5"/>
    <n v="6"/>
    <n v="2"/>
    <n v="3"/>
    <n v="11"/>
    <x v="0"/>
    <n v="91.78"/>
    <n v="77.545000000000002"/>
  </r>
  <r>
    <s v="CAIXA INT 1"/>
    <s v="CAIXA PRINCIPAL"/>
    <m/>
    <n v="7"/>
    <n v="10"/>
    <n v="2"/>
    <n v="3"/>
    <n v="15"/>
    <x v="3"/>
    <n v="158.54999999999998"/>
    <n v="132.79"/>
  </r>
  <r>
    <s v="INT 7"/>
    <s v="CAIXA INT 2"/>
    <s v="31,32,33,35"/>
    <n v="9.75"/>
    <n v="4"/>
    <n v="2"/>
    <n v="3"/>
    <n v="9"/>
    <x v="1"/>
    <n v="119.63249999999999"/>
    <n v="100.62"/>
  </r>
  <r>
    <s v="INT 8"/>
    <s v="CAIXA INT 2"/>
    <s v="31,32,33,35"/>
    <n v="8.15"/>
    <n v="4"/>
    <n v="2"/>
    <n v="3"/>
    <n v="9"/>
    <x v="1"/>
    <n v="100.0005"/>
    <n v="84.108000000000004"/>
  </r>
  <r>
    <s v="INT 9"/>
    <s v="CAIXA INT 2"/>
    <s v="31,32,33,4"/>
    <n v="5.5"/>
    <n v="4"/>
    <n v="2"/>
    <n v="3"/>
    <n v="9"/>
    <x v="1"/>
    <n v="67.484999999999999"/>
    <n v="56.760000000000005"/>
  </r>
  <r>
    <s v="INT 10"/>
    <s v="CAIXA INT 2"/>
    <s v="36,37,38"/>
    <n v="5"/>
    <n v="3"/>
    <n v="2"/>
    <n v="3"/>
    <n v="8"/>
    <x v="4"/>
    <n v="49.65"/>
    <n v="42"/>
  </r>
  <r>
    <s v="CAIXA INT 2"/>
    <s v="CAIXA PRINCIPAL"/>
    <m/>
    <n v="6.5"/>
    <n v="8"/>
    <n v="2"/>
    <n v="3"/>
    <n v="13"/>
    <x v="5"/>
    <n v="117.06500000000001"/>
    <n v="100.10000000000001"/>
  </r>
  <r>
    <s v="INT 11"/>
    <s v="CAIXA PRINCIPAL"/>
    <n v="23"/>
    <n v="5.5"/>
    <n v="1"/>
    <n v="2"/>
    <n v="3"/>
    <n v="6"/>
    <x v="2"/>
    <n v="44.88"/>
    <n v="37.4"/>
  </r>
  <r>
    <s v="INT 12"/>
    <s v="CAIXA PRINCIPAL"/>
    <n v="23"/>
    <n v="6"/>
    <n v="1"/>
    <n v="2"/>
    <n v="3"/>
    <n v="6"/>
    <x v="2"/>
    <n v="48.96"/>
    <n v="40.799999999999997"/>
  </r>
  <r>
    <s v="INT 13"/>
    <s v="CAIXA PRINCIPAL"/>
    <n v="22.23"/>
    <n v="8.5"/>
    <n v="2"/>
    <n v="2"/>
    <n v="3"/>
    <n v="7"/>
    <x v="4"/>
    <n v="84.405000000000001"/>
    <n v="71.400000000000006"/>
  </r>
  <r>
    <s v="INT 14"/>
    <s v="CAIXA INT 3"/>
    <s v="24,25,26,27"/>
    <n v="8"/>
    <n v="4"/>
    <n v="2"/>
    <n v="3"/>
    <n v="9"/>
    <x v="1"/>
    <n v="98.16"/>
    <n v="82.56"/>
  </r>
  <r>
    <s v="INT 15"/>
    <s v="CAIXA INT 3"/>
    <s v="24,25,26,27"/>
    <n v="6"/>
    <n v="4"/>
    <n v="2"/>
    <n v="3"/>
    <n v="9"/>
    <x v="1"/>
    <n v="73.62"/>
    <n v="61.92"/>
  </r>
  <r>
    <s v="INT 16"/>
    <s v="CAIXA INT 3"/>
    <s v="24,25,26,27"/>
    <n v="5.5"/>
    <n v="4"/>
    <n v="2"/>
    <n v="3"/>
    <n v="9"/>
    <x v="1"/>
    <n v="67.484999999999999"/>
    <n v="56.7600000000000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INT 21"/>
    <s v="CAIXA PRINCIPAL T"/>
    <n v="10"/>
    <n v="14"/>
    <n v="1"/>
    <n v="2"/>
    <n v="3"/>
    <n v="6"/>
    <x v="0"/>
    <n v="114.24000000000001"/>
    <n v="95.2"/>
  </r>
  <r>
    <s v="INT 22"/>
    <s v="CAIXA PRINCIPAL T"/>
    <s v="13,14,15,16,17,20"/>
    <n v="13"/>
    <n v="6"/>
    <n v="2"/>
    <n v="3"/>
    <n v="11"/>
    <x v="1"/>
    <n v="183.56"/>
    <n v="155.09"/>
  </r>
  <r>
    <s v="INT 23"/>
    <s v="CAIXA PRINCIPAL T"/>
    <n v="10"/>
    <n v="13"/>
    <n v="1"/>
    <n v="2"/>
    <n v="3"/>
    <n v="6"/>
    <x v="0"/>
    <n v="106.08"/>
    <n v="88.399999999999991"/>
  </r>
  <r>
    <s v="INT 24"/>
    <s v="INT 23"/>
    <n v="11"/>
    <n v="0.1"/>
    <n v="1"/>
    <n v="2"/>
    <n v="3"/>
    <n v="6"/>
    <x v="0"/>
    <n v="0.81600000000000006"/>
    <n v="0.68"/>
  </r>
  <r>
    <s v="INT 25"/>
    <s v="CAIXA PRINCIPAL T"/>
    <n v="8.9"/>
    <n v="12"/>
    <n v="2"/>
    <n v="2"/>
    <n v="3"/>
    <n v="7"/>
    <x v="2"/>
    <n v="119.16"/>
    <n v="100.80000000000001"/>
  </r>
  <r>
    <s v="INT 26"/>
    <s v="CAIXA PRINCIPAL T"/>
    <s v="13,14,15,16,17,50"/>
    <n v="12"/>
    <n v="6"/>
    <n v="2"/>
    <n v="3"/>
    <n v="11"/>
    <x v="1"/>
    <n v="169.44"/>
    <n v="143.16"/>
  </r>
  <r>
    <s v="INT 27"/>
    <s v="INT 28"/>
    <n v="8.9"/>
    <n v="0.1"/>
    <n v="2"/>
    <n v="2"/>
    <n v="3"/>
    <n v="7"/>
    <x v="2"/>
    <n v="0.99299999999999999"/>
    <n v="0.84000000000000008"/>
  </r>
  <r>
    <s v="INT 28"/>
    <s v="CAIXA PRINCIPAL T"/>
    <s v="7,8,9"/>
    <n v="10"/>
    <n v="3"/>
    <n v="2"/>
    <n v="3"/>
    <n v="8"/>
    <x v="2"/>
    <n v="99.3"/>
    <n v="84"/>
  </r>
  <r>
    <s v="INT 29"/>
    <s v="CAIXA PRINCIPAL T"/>
    <s v="12,13,14,15,16"/>
    <n v="8"/>
    <n v="5"/>
    <n v="2"/>
    <n v="3"/>
    <n v="10"/>
    <x v="3"/>
    <n v="98.16"/>
    <n v="82.56"/>
  </r>
  <r>
    <s v="INT 30"/>
    <s v="CAIXA PRINCIPAL T"/>
    <s v="18,19,20,17,16,21"/>
    <n v="13"/>
    <n v="6"/>
    <n v="2"/>
    <n v="3"/>
    <n v="11"/>
    <x v="1"/>
    <n v="183.56"/>
    <n v="155.09"/>
  </r>
  <r>
    <s v="INT 31"/>
    <s v="CAIXA PRINCIPAL T"/>
    <n v="7"/>
    <n v="5"/>
    <n v="1"/>
    <n v="2"/>
    <n v="3"/>
    <n v="6"/>
    <x v="0"/>
    <n v="40.799999999999997"/>
    <n v="34"/>
  </r>
  <r>
    <s v="INT 32"/>
    <s v="CAIXA PRINCIPAL T"/>
    <n v="4"/>
    <n v="5"/>
    <n v="1"/>
    <n v="2"/>
    <n v="3"/>
    <n v="6"/>
    <x v="0"/>
    <n v="40.799999999999997"/>
    <n v="34"/>
  </r>
  <r>
    <s v="INT 33"/>
    <s v="CAIXA PRINCIPAL T"/>
    <n v="5.6"/>
    <n v="5"/>
    <n v="1"/>
    <n v="2"/>
    <n v="3"/>
    <n v="6"/>
    <x v="0"/>
    <n v="40.799999999999997"/>
    <n v="34"/>
  </r>
  <r>
    <s v="INT 34"/>
    <s v="CAIXA PRINCIPAL T"/>
    <s v="1,2,3"/>
    <n v="6"/>
    <n v="3"/>
    <n v="2"/>
    <n v="3"/>
    <n v="8"/>
    <x v="2"/>
    <n v="59.58"/>
    <n v="50.400000000000006"/>
  </r>
  <r>
    <s v="INT 35"/>
    <s v="CAIXA PRINCIPAL T"/>
    <s v="16,17,18,19,21,22"/>
    <m/>
    <n v="6"/>
    <n v="2"/>
    <n v="3"/>
    <n v="11"/>
    <x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lanilha2 2" cacheId="5" applyNumberFormats="0" applyBorderFormats="0" applyFontFormats="0" applyPatternFormats="0" applyAlignmentFormats="0" applyWidthHeightFormats="0" dataCaption="" updatedVersion="8" compact="0" compactData="0">
  <location ref="D3:E10" firstHeaderRow="1" firstDataRow="1" firstDataCol="1"/>
  <pivotFields count="11">
    <pivotField name="DE ONDE" compact="0" outline="0" multipleItemSelectionAllowed="1" showAll="0"/>
    <pivotField name="PARA ONDE" compact="0" outline="0" multipleItemSelectionAllowed="1" showAll="0"/>
    <pivotField name="CICRUITO" compact="0" outline="0" multipleItemSelectionAllowed="1" showAll="0"/>
    <pivotField name="METRAGEM" dataField="1" compact="0" outline="0" multipleItemSelectionAllowed="1" showAll="0"/>
    <pivotField name="circuitos" compact="0" outline="0" multipleItemSelectionAllowed="1" showAll="0"/>
    <pivotField name="bus" compact="0" outline="0" multipleItemSelectionAllowed="1" showAll="0"/>
    <pivotField name="tensão" compact="0" outline="0" multipleItemSelectionAllowed="1" showAll="0"/>
    <pivotField name="total" compact="0" outline="0" multipleItemSelectionAllowed="1" showAll="0"/>
    <pivotField name="cabo" axis="axisRow" compact="0" outline="0" multipleItemSelectionAllowed="1" showAll="0" sortType="ascending">
      <items count="7">
        <item x="2"/>
        <item x="4"/>
        <item x="1"/>
        <item x="0"/>
        <item x="5"/>
        <item x="3"/>
        <item t="default"/>
      </items>
    </pivotField>
    <pivotField name="R$ cobre" compact="0" numFmtId="8" outline="0" multipleItemSelectionAllowed="1" showAll="0"/>
    <pivotField name="R$ alumínio" compact="0" numFmtId="8" outline="0" multipleItemSelectionAllowed="1"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METRAGEM" fld="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Planilha2" cacheId="9" applyNumberFormats="0" applyBorderFormats="0" applyFontFormats="0" applyPatternFormats="0" applyAlignmentFormats="0" applyWidthHeightFormats="0" dataCaption="" updatedVersion="8" compact="0" compactData="0">
  <location ref="A3:B8" firstHeaderRow="1" firstDataRow="1" firstDataCol="1"/>
  <pivotFields count="11">
    <pivotField name="DE ONDE" compact="0" outline="0" multipleItemSelectionAllowed="1" showAll="0"/>
    <pivotField name="PARA ONDE" compact="0" outline="0" multipleItemSelectionAllowed="1" showAll="0"/>
    <pivotField name="CIRCUITOS" compact="0" outline="0" multipleItemSelectionAllowed="1" showAll="0"/>
    <pivotField name="METRAGEM" dataField="1" compact="0" outline="0" multipleItemSelectionAllowed="1" showAll="0"/>
    <pivotField name="OBSERVAÇÃO" compact="0" outline="0" multipleItemSelectionAllowed="1" showAll="0"/>
    <pivotField name="bus" compact="0" outline="0" multipleItemSelectionAllowed="1" showAll="0"/>
    <pivotField name="tensão" compact="0" outline="0" multipleItemSelectionAllowed="1" showAll="0"/>
    <pivotField name="total" compact="0" outline="0" multipleItemSelectionAllowed="1" showAll="0"/>
    <pivotField name="cabo" axis="axisRow" compact="0" outline="0" multipleItemSelectionAllowed="1" showAll="0" sortType="ascending">
      <items count="5">
        <item x="0"/>
        <item x="2"/>
        <item x="3"/>
        <item x="1"/>
        <item t="default"/>
      </items>
    </pivotField>
    <pivotField name="R$ cobre" compact="0" outline="0" multipleItemSelectionAllowed="1" showAll="0"/>
    <pivotField name="R$ alumínio" compact="0" outline="0" multipleItemSelectionAllowed="1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METRAGEM" fld="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L21">
  <tableColumns count="12">
    <tableColumn id="1" xr3:uid="{00000000-0010-0000-0000-000001000000}" name="ETIQUETA"/>
    <tableColumn id="2" xr3:uid="{00000000-0010-0000-0000-000002000000}" name="DE ONDE"/>
    <tableColumn id="3" xr3:uid="{00000000-0010-0000-0000-000003000000}" name="PARA ONDE"/>
    <tableColumn id="4" xr3:uid="{00000000-0010-0000-0000-000004000000}" name="CICRUITO"/>
    <tableColumn id="5" xr3:uid="{00000000-0010-0000-0000-000005000000}" name="METRAGEM"/>
    <tableColumn id="6" xr3:uid="{00000000-0010-0000-0000-000006000000}" name="circuitos"/>
    <tableColumn id="7" xr3:uid="{00000000-0010-0000-0000-000007000000}" name="bus"/>
    <tableColumn id="8" xr3:uid="{00000000-0010-0000-0000-000008000000}" name="tensão"/>
    <tableColumn id="9" xr3:uid="{00000000-0010-0000-0000-000009000000}" name="total"/>
    <tableColumn id="10" xr3:uid="{00000000-0010-0000-0000-00000A000000}" name="cabo"/>
    <tableColumn id="11" xr3:uid="{00000000-0010-0000-0000-00000B000000}" name="R$ cobre"/>
    <tableColumn id="12" xr3:uid="{00000000-0010-0000-0000-00000C000000}" name="R$ alumínio"/>
  </tableColumns>
  <tableStyleInfo name="DADOS PAVIMENTO SUPERIO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L18">
  <tableColumns count="12">
    <tableColumn id="1" xr3:uid="{00000000-0010-0000-0100-000001000000}" name="Etiqueta"/>
    <tableColumn id="2" xr3:uid="{00000000-0010-0000-0100-000002000000}" name="DE ONDE"/>
    <tableColumn id="3" xr3:uid="{00000000-0010-0000-0100-000003000000}" name="PARA ONDE"/>
    <tableColumn id="4" xr3:uid="{00000000-0010-0000-0100-000004000000}" name="CIRCUITOS"/>
    <tableColumn id="5" xr3:uid="{00000000-0010-0000-0100-000005000000}" name="METRAGEM"/>
    <tableColumn id="6" xr3:uid="{00000000-0010-0000-0100-000006000000}" name="OBSERVAÇÃO"/>
    <tableColumn id="7" xr3:uid="{00000000-0010-0000-0100-000007000000}" name="bus"/>
    <tableColumn id="8" xr3:uid="{00000000-0010-0000-0100-000008000000}" name="tensão"/>
    <tableColumn id="9" xr3:uid="{00000000-0010-0000-0100-000009000000}" name="total"/>
    <tableColumn id="10" xr3:uid="{00000000-0010-0000-0100-00000A000000}" name="cabo"/>
    <tableColumn id="11" xr3:uid="{00000000-0010-0000-0100-00000B000000}" name="R$ cobre"/>
    <tableColumn id="12" xr3:uid="{00000000-0010-0000-0100-00000C000000}" name="R$ alumínio"/>
  </tableColumns>
  <tableStyleInfo name="DADOS PAVIMENTO INFERIO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tabSelected="1" workbookViewId="0">
      <selection activeCell="E11" sqref="E11"/>
    </sheetView>
  </sheetViews>
  <sheetFormatPr defaultColWidth="14.44140625" defaultRowHeight="15" customHeight="1" x14ac:dyDescent="0.3"/>
  <cols>
    <col min="1" max="1" width="14.44140625" customWidth="1"/>
    <col min="2" max="5" width="21.5546875" customWidth="1"/>
    <col min="6" max="6" width="21.5546875" hidden="1" customWidth="1"/>
    <col min="7" max="7" width="8.6640625" hidden="1" customWidth="1"/>
    <col min="8" max="8" width="9.109375" hidden="1" customWidth="1"/>
    <col min="9" max="9" width="8.6640625" hidden="1" customWidth="1"/>
    <col min="10" max="10" width="8.6640625" customWidth="1"/>
    <col min="11" max="11" width="10.6640625" hidden="1" customWidth="1"/>
    <col min="12" max="12" width="13.5546875" hidden="1" customWidth="1"/>
    <col min="13" max="14" width="8.6640625" customWidth="1"/>
  </cols>
  <sheetData>
    <row r="1" spans="1:17" ht="15" customHeight="1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5"/>
    </row>
    <row r="3" spans="1:17" ht="14.25" customHeight="1" x14ac:dyDescent="0.3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2" t="s">
        <v>11</v>
      </c>
      <c r="L3" s="2" t="s">
        <v>12</v>
      </c>
      <c r="M3" s="2"/>
      <c r="N3" s="2"/>
      <c r="P3" s="2" t="s">
        <v>13</v>
      </c>
      <c r="Q3" s="2" t="s">
        <v>14</v>
      </c>
    </row>
    <row r="4" spans="1:17" ht="14.25" customHeight="1" x14ac:dyDescent="0.3">
      <c r="A4" s="3">
        <v>31</v>
      </c>
      <c r="B4" s="3" t="s">
        <v>15</v>
      </c>
      <c r="C4" s="3" t="s">
        <v>16</v>
      </c>
      <c r="D4" s="3" t="s">
        <v>17</v>
      </c>
      <c r="E4" s="3">
        <v>9.5</v>
      </c>
      <c r="F4" s="3">
        <v>6</v>
      </c>
      <c r="G4" s="3">
        <v>2</v>
      </c>
      <c r="H4" s="3">
        <v>3</v>
      </c>
      <c r="I4" s="3">
        <f t="shared" ref="I4:I21" si="0">SUM(F4:H4)</f>
        <v>11</v>
      </c>
      <c r="J4" s="3">
        <v>12</v>
      </c>
      <c r="K4" s="4">
        <f t="shared" ref="K4:K21" si="1">VLOOKUP(J4,$O$4:$Q$19,2,TRUE)*E4</f>
        <v>134.13999999999999</v>
      </c>
      <c r="L4" s="4">
        <f t="shared" ref="L4:L21" si="2">VLOOKUP(J4,$O$4:$Q$19,3,TRUE)*E4</f>
        <v>113.33499999999999</v>
      </c>
      <c r="O4" s="2"/>
      <c r="P4" s="1">
        <v>3.85</v>
      </c>
      <c r="Q4" s="1">
        <v>3.18</v>
      </c>
    </row>
    <row r="5" spans="1:17" ht="14.25" customHeight="1" x14ac:dyDescent="0.3">
      <c r="A5" s="3">
        <v>32</v>
      </c>
      <c r="B5" s="3" t="s">
        <v>18</v>
      </c>
      <c r="C5" s="3" t="s">
        <v>16</v>
      </c>
      <c r="D5" s="3" t="s">
        <v>19</v>
      </c>
      <c r="E5" s="3">
        <v>9.5</v>
      </c>
      <c r="F5" s="3">
        <v>5</v>
      </c>
      <c r="G5" s="3">
        <v>2</v>
      </c>
      <c r="H5" s="3">
        <v>3</v>
      </c>
      <c r="I5" s="3">
        <f t="shared" si="0"/>
        <v>10</v>
      </c>
      <c r="J5" s="3">
        <v>10</v>
      </c>
      <c r="K5" s="4">
        <f t="shared" si="1"/>
        <v>116.565</v>
      </c>
      <c r="L5" s="4">
        <f t="shared" si="2"/>
        <v>98.04</v>
      </c>
      <c r="O5" s="1">
        <v>3</v>
      </c>
      <c r="P5" s="1">
        <v>4.82</v>
      </c>
      <c r="Q5" s="1">
        <v>4.01</v>
      </c>
    </row>
    <row r="6" spans="1:17" ht="14.25" customHeight="1" x14ac:dyDescent="0.3">
      <c r="A6" s="3">
        <v>33</v>
      </c>
      <c r="B6" s="3" t="s">
        <v>20</v>
      </c>
      <c r="C6" s="3" t="s">
        <v>16</v>
      </c>
      <c r="D6" s="3">
        <v>50</v>
      </c>
      <c r="E6" s="3">
        <v>8</v>
      </c>
      <c r="F6" s="3">
        <v>1</v>
      </c>
      <c r="G6" s="3">
        <v>2</v>
      </c>
      <c r="H6" s="3">
        <v>3</v>
      </c>
      <c r="I6" s="3">
        <f t="shared" si="0"/>
        <v>6</v>
      </c>
      <c r="J6" s="3">
        <v>6</v>
      </c>
      <c r="K6" s="4">
        <f t="shared" si="1"/>
        <v>65.28</v>
      </c>
      <c r="L6" s="4">
        <f t="shared" si="2"/>
        <v>54.4</v>
      </c>
      <c r="O6" s="1">
        <v>4</v>
      </c>
      <c r="P6" s="1">
        <v>5.85</v>
      </c>
      <c r="Q6" s="1">
        <v>4.91</v>
      </c>
    </row>
    <row r="7" spans="1:17" ht="14.25" customHeight="1" x14ac:dyDescent="0.3">
      <c r="A7" s="3">
        <v>34</v>
      </c>
      <c r="B7" s="3" t="s">
        <v>21</v>
      </c>
      <c r="C7" s="3" t="s">
        <v>16</v>
      </c>
      <c r="D7" s="3">
        <v>42</v>
      </c>
      <c r="E7" s="3">
        <v>8</v>
      </c>
      <c r="F7" s="3">
        <v>1</v>
      </c>
      <c r="G7" s="3">
        <v>2</v>
      </c>
      <c r="H7" s="3">
        <v>3</v>
      </c>
      <c r="I7" s="3">
        <f t="shared" si="0"/>
        <v>6</v>
      </c>
      <c r="J7" s="3">
        <v>6</v>
      </c>
      <c r="K7" s="4">
        <f t="shared" si="1"/>
        <v>65.28</v>
      </c>
      <c r="L7" s="4">
        <f t="shared" si="2"/>
        <v>54.4</v>
      </c>
      <c r="O7" s="1">
        <v>6</v>
      </c>
      <c r="P7" s="1">
        <v>8.16</v>
      </c>
      <c r="Q7" s="1">
        <v>6.8</v>
      </c>
    </row>
    <row r="8" spans="1:17" ht="14.25" customHeight="1" x14ac:dyDescent="0.3">
      <c r="A8" s="3">
        <v>35</v>
      </c>
      <c r="B8" s="3" t="s">
        <v>22</v>
      </c>
      <c r="C8" s="3" t="s">
        <v>16</v>
      </c>
      <c r="D8" s="3" t="s">
        <v>17</v>
      </c>
      <c r="E8" s="3">
        <v>6.5</v>
      </c>
      <c r="F8" s="3">
        <v>6</v>
      </c>
      <c r="G8" s="3">
        <v>2</v>
      </c>
      <c r="H8" s="3">
        <v>3</v>
      </c>
      <c r="I8" s="3">
        <f t="shared" si="0"/>
        <v>11</v>
      </c>
      <c r="J8" s="3">
        <v>12</v>
      </c>
      <c r="K8" s="4">
        <f t="shared" si="1"/>
        <v>91.78</v>
      </c>
      <c r="L8" s="4">
        <f t="shared" si="2"/>
        <v>77.545000000000002</v>
      </c>
      <c r="O8" s="1">
        <v>8</v>
      </c>
      <c r="P8" s="1">
        <v>9.93</v>
      </c>
      <c r="Q8" s="1">
        <v>8.4</v>
      </c>
    </row>
    <row r="9" spans="1:17" ht="14.25" customHeight="1" x14ac:dyDescent="0.3">
      <c r="A9" s="3">
        <v>36</v>
      </c>
      <c r="B9" s="3" t="s">
        <v>23</v>
      </c>
      <c r="C9" s="3" t="s">
        <v>16</v>
      </c>
      <c r="D9" s="3" t="s">
        <v>17</v>
      </c>
      <c r="E9" s="3">
        <v>6.5</v>
      </c>
      <c r="F9" s="3">
        <v>6</v>
      </c>
      <c r="G9" s="3">
        <v>2</v>
      </c>
      <c r="H9" s="3">
        <v>3</v>
      </c>
      <c r="I9" s="3">
        <f t="shared" si="0"/>
        <v>11</v>
      </c>
      <c r="J9" s="3">
        <v>12</v>
      </c>
      <c r="K9" s="4">
        <f t="shared" si="1"/>
        <v>91.78</v>
      </c>
      <c r="L9" s="4">
        <f t="shared" si="2"/>
        <v>77.545000000000002</v>
      </c>
      <c r="O9" s="1">
        <v>10</v>
      </c>
      <c r="P9" s="1">
        <v>12.27</v>
      </c>
      <c r="Q9" s="1">
        <v>10.32</v>
      </c>
    </row>
    <row r="10" spans="1:17" ht="14.25" customHeight="1" x14ac:dyDescent="0.3">
      <c r="A10" s="3">
        <v>37</v>
      </c>
      <c r="B10" s="3" t="s">
        <v>16</v>
      </c>
      <c r="C10" s="3" t="s">
        <v>24</v>
      </c>
      <c r="D10" s="3"/>
      <c r="E10" s="3">
        <v>7</v>
      </c>
      <c r="F10" s="3">
        <v>10</v>
      </c>
      <c r="G10" s="3">
        <v>2</v>
      </c>
      <c r="H10" s="3">
        <v>3</v>
      </c>
      <c r="I10" s="3">
        <f t="shared" si="0"/>
        <v>15</v>
      </c>
      <c r="J10" s="3">
        <v>20</v>
      </c>
      <c r="K10" s="4">
        <f t="shared" si="1"/>
        <v>158.54999999999998</v>
      </c>
      <c r="L10" s="4">
        <f t="shared" si="2"/>
        <v>132.79</v>
      </c>
      <c r="O10" s="1">
        <v>12</v>
      </c>
      <c r="P10" s="1">
        <v>14.12</v>
      </c>
      <c r="Q10" s="1">
        <v>11.93</v>
      </c>
    </row>
    <row r="11" spans="1:17" ht="14.25" customHeight="1" x14ac:dyDescent="0.3">
      <c r="A11" s="3">
        <v>38</v>
      </c>
      <c r="B11" s="3" t="s">
        <v>25</v>
      </c>
      <c r="C11" s="3" t="s">
        <v>26</v>
      </c>
      <c r="D11" s="3" t="s">
        <v>27</v>
      </c>
      <c r="E11" s="3">
        <v>9.75</v>
      </c>
      <c r="F11" s="3">
        <v>4</v>
      </c>
      <c r="G11" s="3">
        <v>2</v>
      </c>
      <c r="H11" s="3">
        <v>3</v>
      </c>
      <c r="I11" s="3">
        <f t="shared" si="0"/>
        <v>9</v>
      </c>
      <c r="J11" s="3">
        <v>10</v>
      </c>
      <c r="K11" s="4">
        <f t="shared" si="1"/>
        <v>119.63249999999999</v>
      </c>
      <c r="L11" s="4">
        <f t="shared" si="2"/>
        <v>100.62</v>
      </c>
      <c r="O11" s="1">
        <v>16</v>
      </c>
      <c r="P11" s="1">
        <v>18.010000000000002</v>
      </c>
      <c r="Q11" s="1">
        <v>15.4</v>
      </c>
    </row>
    <row r="12" spans="1:17" ht="14.25" customHeight="1" x14ac:dyDescent="0.3">
      <c r="A12" s="3">
        <v>39</v>
      </c>
      <c r="B12" s="3" t="s">
        <v>28</v>
      </c>
      <c r="C12" s="3" t="s">
        <v>26</v>
      </c>
      <c r="D12" s="3" t="s">
        <v>27</v>
      </c>
      <c r="E12" s="3">
        <v>8.15</v>
      </c>
      <c r="F12" s="3">
        <v>4</v>
      </c>
      <c r="G12" s="3">
        <v>2</v>
      </c>
      <c r="H12" s="3">
        <v>3</v>
      </c>
      <c r="I12" s="3">
        <f t="shared" si="0"/>
        <v>9</v>
      </c>
      <c r="J12" s="3">
        <v>10</v>
      </c>
      <c r="K12" s="4">
        <f t="shared" si="1"/>
        <v>100.0005</v>
      </c>
      <c r="L12" s="4">
        <f t="shared" si="2"/>
        <v>84.108000000000004</v>
      </c>
      <c r="O12" s="1">
        <v>20</v>
      </c>
      <c r="P12" s="1">
        <v>22.65</v>
      </c>
      <c r="Q12" s="1">
        <v>18.97</v>
      </c>
    </row>
    <row r="13" spans="1:17" ht="14.25" customHeight="1" x14ac:dyDescent="0.3">
      <c r="A13" s="3">
        <v>40</v>
      </c>
      <c r="B13" s="3" t="s">
        <v>29</v>
      </c>
      <c r="C13" s="3" t="s">
        <v>26</v>
      </c>
      <c r="D13" s="3" t="s">
        <v>30</v>
      </c>
      <c r="E13" s="3">
        <v>5.5</v>
      </c>
      <c r="F13" s="3">
        <v>4</v>
      </c>
      <c r="G13" s="3">
        <v>2</v>
      </c>
      <c r="H13" s="3">
        <v>3</v>
      </c>
      <c r="I13" s="3">
        <f t="shared" si="0"/>
        <v>9</v>
      </c>
      <c r="J13" s="3">
        <v>10</v>
      </c>
      <c r="K13" s="4">
        <f t="shared" si="1"/>
        <v>67.484999999999999</v>
      </c>
      <c r="L13" s="4">
        <f t="shared" si="2"/>
        <v>56.760000000000005</v>
      </c>
      <c r="O13" s="1">
        <v>26</v>
      </c>
      <c r="P13" s="1">
        <v>28.62</v>
      </c>
      <c r="Q13" s="1">
        <v>23.93</v>
      </c>
    </row>
    <row r="14" spans="1:17" ht="14.25" customHeight="1" x14ac:dyDescent="0.3">
      <c r="A14" s="3">
        <v>41</v>
      </c>
      <c r="B14" s="3" t="s">
        <v>31</v>
      </c>
      <c r="C14" s="3" t="s">
        <v>26</v>
      </c>
      <c r="D14" s="3" t="s">
        <v>32</v>
      </c>
      <c r="E14" s="3">
        <v>5</v>
      </c>
      <c r="F14" s="3">
        <v>3</v>
      </c>
      <c r="G14" s="3">
        <v>2</v>
      </c>
      <c r="H14" s="3">
        <v>3</v>
      </c>
      <c r="I14" s="3">
        <f t="shared" si="0"/>
        <v>8</v>
      </c>
      <c r="J14" s="3">
        <v>8</v>
      </c>
      <c r="K14" s="4">
        <f t="shared" si="1"/>
        <v>49.65</v>
      </c>
      <c r="L14" s="4">
        <f t="shared" si="2"/>
        <v>42</v>
      </c>
      <c r="O14" s="1">
        <v>32</v>
      </c>
      <c r="P14" s="1">
        <v>33.64</v>
      </c>
      <c r="Q14" s="1">
        <v>28.6</v>
      </c>
    </row>
    <row r="15" spans="1:17" ht="14.25" customHeight="1" x14ac:dyDescent="0.3">
      <c r="A15" s="3">
        <v>42</v>
      </c>
      <c r="B15" s="3" t="s">
        <v>26</v>
      </c>
      <c r="C15" s="3" t="s">
        <v>24</v>
      </c>
      <c r="D15" s="3"/>
      <c r="E15" s="3">
        <v>6.5</v>
      </c>
      <c r="F15" s="3">
        <v>8</v>
      </c>
      <c r="G15" s="3">
        <v>2</v>
      </c>
      <c r="H15" s="3">
        <v>3</v>
      </c>
      <c r="I15" s="3">
        <f t="shared" si="0"/>
        <v>13</v>
      </c>
      <c r="J15" s="3">
        <v>16</v>
      </c>
      <c r="K15" s="4">
        <f t="shared" si="1"/>
        <v>117.06500000000001</v>
      </c>
      <c r="L15" s="4">
        <f t="shared" si="2"/>
        <v>100.10000000000001</v>
      </c>
      <c r="O15" s="2"/>
    </row>
    <row r="16" spans="1:17" ht="14.25" customHeight="1" x14ac:dyDescent="0.3">
      <c r="A16" s="3">
        <v>43</v>
      </c>
      <c r="B16" s="3" t="s">
        <v>33</v>
      </c>
      <c r="C16" s="3" t="s">
        <v>24</v>
      </c>
      <c r="D16" s="3">
        <v>23</v>
      </c>
      <c r="E16" s="3">
        <v>5.5</v>
      </c>
      <c r="F16" s="3">
        <v>1</v>
      </c>
      <c r="G16" s="3">
        <v>2</v>
      </c>
      <c r="H16" s="3">
        <v>3</v>
      </c>
      <c r="I16" s="3">
        <f t="shared" si="0"/>
        <v>6</v>
      </c>
      <c r="J16" s="3">
        <v>6</v>
      </c>
      <c r="K16" s="4">
        <f t="shared" si="1"/>
        <v>44.88</v>
      </c>
      <c r="L16" s="4">
        <f t="shared" si="2"/>
        <v>37.4</v>
      </c>
    </row>
    <row r="17" spans="1:12" ht="14.25" customHeight="1" x14ac:dyDescent="0.3">
      <c r="A17" s="3">
        <v>44</v>
      </c>
      <c r="B17" s="3" t="s">
        <v>34</v>
      </c>
      <c r="C17" s="3" t="s">
        <v>24</v>
      </c>
      <c r="D17" s="3">
        <v>23</v>
      </c>
      <c r="E17" s="3">
        <v>6</v>
      </c>
      <c r="F17" s="3">
        <v>1</v>
      </c>
      <c r="G17" s="3">
        <v>2</v>
      </c>
      <c r="H17" s="3">
        <v>3</v>
      </c>
      <c r="I17" s="3">
        <f t="shared" si="0"/>
        <v>6</v>
      </c>
      <c r="J17" s="3">
        <v>6</v>
      </c>
      <c r="K17" s="4">
        <f t="shared" si="1"/>
        <v>48.96</v>
      </c>
      <c r="L17" s="4">
        <f t="shared" si="2"/>
        <v>40.799999999999997</v>
      </c>
    </row>
    <row r="18" spans="1:12" ht="14.25" customHeight="1" x14ac:dyDescent="0.3">
      <c r="A18" s="3">
        <v>45</v>
      </c>
      <c r="B18" s="3" t="s">
        <v>35</v>
      </c>
      <c r="C18" s="3" t="s">
        <v>24</v>
      </c>
      <c r="D18" s="3">
        <v>22.23</v>
      </c>
      <c r="E18" s="3">
        <v>8.5</v>
      </c>
      <c r="F18" s="3">
        <v>2</v>
      </c>
      <c r="G18" s="3">
        <v>2</v>
      </c>
      <c r="H18" s="3">
        <v>3</v>
      </c>
      <c r="I18" s="3">
        <f t="shared" si="0"/>
        <v>7</v>
      </c>
      <c r="J18" s="3">
        <v>8</v>
      </c>
      <c r="K18" s="4">
        <f t="shared" si="1"/>
        <v>84.405000000000001</v>
      </c>
      <c r="L18" s="4">
        <f t="shared" si="2"/>
        <v>71.400000000000006</v>
      </c>
    </row>
    <row r="19" spans="1:12" ht="14.25" customHeight="1" x14ac:dyDescent="0.3">
      <c r="A19" s="3">
        <v>46</v>
      </c>
      <c r="B19" s="3" t="s">
        <v>36</v>
      </c>
      <c r="C19" s="3" t="s">
        <v>37</v>
      </c>
      <c r="D19" s="3" t="s">
        <v>38</v>
      </c>
      <c r="E19" s="3">
        <v>8</v>
      </c>
      <c r="F19" s="3">
        <v>4</v>
      </c>
      <c r="G19" s="3">
        <v>2</v>
      </c>
      <c r="H19" s="3">
        <v>3</v>
      </c>
      <c r="I19" s="3">
        <f t="shared" si="0"/>
        <v>9</v>
      </c>
      <c r="J19" s="3">
        <v>10</v>
      </c>
      <c r="K19" s="4">
        <f t="shared" si="1"/>
        <v>98.16</v>
      </c>
      <c r="L19" s="4">
        <f t="shared" si="2"/>
        <v>82.56</v>
      </c>
    </row>
    <row r="20" spans="1:12" ht="14.25" customHeight="1" x14ac:dyDescent="0.3">
      <c r="A20" s="3">
        <v>47</v>
      </c>
      <c r="B20" s="3" t="s">
        <v>39</v>
      </c>
      <c r="C20" s="3" t="s">
        <v>37</v>
      </c>
      <c r="D20" s="3" t="s">
        <v>38</v>
      </c>
      <c r="E20" s="3">
        <v>6</v>
      </c>
      <c r="F20" s="3">
        <v>4</v>
      </c>
      <c r="G20" s="3">
        <v>2</v>
      </c>
      <c r="H20" s="3">
        <v>3</v>
      </c>
      <c r="I20" s="3">
        <f t="shared" si="0"/>
        <v>9</v>
      </c>
      <c r="J20" s="3">
        <v>10</v>
      </c>
      <c r="K20" s="4">
        <f t="shared" si="1"/>
        <v>73.62</v>
      </c>
      <c r="L20" s="4">
        <f t="shared" si="2"/>
        <v>61.92</v>
      </c>
    </row>
    <row r="21" spans="1:12" ht="14.25" customHeight="1" x14ac:dyDescent="0.3">
      <c r="A21" s="3">
        <v>48</v>
      </c>
      <c r="B21" s="3" t="s">
        <v>40</v>
      </c>
      <c r="C21" s="3" t="s">
        <v>37</v>
      </c>
      <c r="D21" s="3" t="s">
        <v>38</v>
      </c>
      <c r="E21" s="3">
        <v>5.5</v>
      </c>
      <c r="F21" s="3">
        <v>4</v>
      </c>
      <c r="G21" s="3">
        <v>2</v>
      </c>
      <c r="H21" s="3">
        <v>3</v>
      </c>
      <c r="I21" s="3">
        <f t="shared" si="0"/>
        <v>9</v>
      </c>
      <c r="J21" s="3">
        <v>10</v>
      </c>
      <c r="K21" s="4">
        <f t="shared" si="1"/>
        <v>67.484999999999999</v>
      </c>
      <c r="L21" s="4">
        <f t="shared" si="2"/>
        <v>56.760000000000005</v>
      </c>
    </row>
    <row r="22" spans="1:12" ht="14.25" customHeight="1" x14ac:dyDescent="0.3"/>
    <row r="23" spans="1:12" ht="14.25" customHeight="1" x14ac:dyDescent="0.3">
      <c r="J23" s="2" t="s">
        <v>9</v>
      </c>
      <c r="K23" s="4">
        <f t="shared" ref="K23:L23" si="3">SUM(K4:K21)</f>
        <v>1594.7180000000001</v>
      </c>
      <c r="L23" s="4">
        <f t="shared" si="3"/>
        <v>1342.4829999999999</v>
      </c>
    </row>
    <row r="24" spans="1:12" ht="14.25" customHeight="1" x14ac:dyDescent="0.3"/>
    <row r="25" spans="1:12" ht="14.25" customHeight="1" x14ac:dyDescent="0.3"/>
    <row r="26" spans="1:12" ht="14.25" customHeight="1" x14ac:dyDescent="0.3"/>
    <row r="27" spans="1:12" ht="14.25" customHeight="1" x14ac:dyDescent="0.3"/>
    <row r="28" spans="1:12" ht="14.25" customHeight="1" x14ac:dyDescent="0.3"/>
    <row r="29" spans="1:12" ht="14.25" customHeight="1" x14ac:dyDescent="0.3"/>
    <row r="30" spans="1:12" ht="14.25" customHeight="1" x14ac:dyDescent="0.3"/>
    <row r="31" spans="1:12" ht="14.25" customHeight="1" x14ac:dyDescent="0.3"/>
    <row r="32" spans="1:1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J1"/>
  </mergeCells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workbookViewId="0">
      <selection activeCell="C11" sqref="C11"/>
    </sheetView>
  </sheetViews>
  <sheetFormatPr defaultColWidth="14.44140625" defaultRowHeight="15" customHeight="1" x14ac:dyDescent="0.3"/>
  <cols>
    <col min="1" max="1" width="14.44140625" customWidth="1"/>
    <col min="2" max="5" width="21.5546875" customWidth="1"/>
    <col min="6" max="6" width="21.5546875" hidden="1" customWidth="1"/>
    <col min="7" max="7" width="8.6640625" hidden="1" customWidth="1"/>
    <col min="8" max="8" width="9.109375" hidden="1" customWidth="1"/>
    <col min="9" max="9" width="8.6640625" hidden="1" customWidth="1"/>
    <col min="10" max="10" width="8.6640625" customWidth="1"/>
    <col min="11" max="11" width="10.6640625" hidden="1" customWidth="1"/>
    <col min="12" max="12" width="13.5546875" hidden="1" customWidth="1"/>
    <col min="13" max="15" width="8.6640625" customWidth="1"/>
  </cols>
  <sheetData>
    <row r="1" spans="1:17" ht="15" customHeight="1" x14ac:dyDescent="0.3">
      <c r="A1" s="13" t="s">
        <v>41</v>
      </c>
      <c r="B1" s="14"/>
      <c r="C1" s="14"/>
      <c r="D1" s="14"/>
      <c r="E1" s="14"/>
      <c r="F1" s="14"/>
      <c r="G1" s="14"/>
      <c r="H1" s="14"/>
      <c r="I1" s="14"/>
      <c r="J1" s="15"/>
    </row>
    <row r="3" spans="1:17" ht="14.25" customHeight="1" x14ac:dyDescent="0.3">
      <c r="A3" s="12" t="s">
        <v>42</v>
      </c>
      <c r="B3" s="12" t="s">
        <v>2</v>
      </c>
      <c r="C3" s="12" t="s">
        <v>3</v>
      </c>
      <c r="D3" s="12" t="s">
        <v>43</v>
      </c>
      <c r="E3" s="12" t="s">
        <v>5</v>
      </c>
      <c r="F3" s="12" t="s">
        <v>44</v>
      </c>
      <c r="G3" s="12" t="s">
        <v>7</v>
      </c>
      <c r="H3" s="12" t="s">
        <v>8</v>
      </c>
      <c r="I3" s="12" t="s">
        <v>9</v>
      </c>
      <c r="J3" s="12" t="s">
        <v>10</v>
      </c>
      <c r="K3" s="2" t="s">
        <v>11</v>
      </c>
      <c r="L3" s="2" t="s">
        <v>12</v>
      </c>
      <c r="M3" s="2"/>
      <c r="O3" s="2"/>
      <c r="P3" s="2" t="s">
        <v>13</v>
      </c>
      <c r="Q3" s="2" t="s">
        <v>14</v>
      </c>
    </row>
    <row r="4" spans="1:17" ht="14.25" customHeight="1" x14ac:dyDescent="0.3">
      <c r="A4" s="3">
        <v>1</v>
      </c>
      <c r="B4" s="3" t="s">
        <v>45</v>
      </c>
      <c r="C4" s="3" t="s">
        <v>46</v>
      </c>
      <c r="D4" s="3">
        <v>10</v>
      </c>
      <c r="E4" s="3">
        <v>14</v>
      </c>
      <c r="F4" s="3">
        <v>1</v>
      </c>
      <c r="G4" s="3">
        <v>2</v>
      </c>
      <c r="H4" s="3">
        <v>3</v>
      </c>
      <c r="I4" s="3">
        <f t="shared" ref="I4:I18" si="0">SUM(F4:H4)</f>
        <v>6</v>
      </c>
      <c r="J4" s="3">
        <v>6</v>
      </c>
      <c r="K4" s="1">
        <f t="shared" ref="K4:K18" si="1">VLOOKUP(J4,$N$4:$P$19,3,TRUE)*E4</f>
        <v>114.24000000000001</v>
      </c>
      <c r="L4" s="1">
        <f t="shared" ref="L4:L18" si="2">VLOOKUP(J4,$N$4:$Q$19,4,TRUE)*E4</f>
        <v>95.2</v>
      </c>
      <c r="N4" s="2">
        <v>2</v>
      </c>
      <c r="O4" s="2"/>
      <c r="P4" s="1">
        <v>3.85</v>
      </c>
      <c r="Q4" s="1">
        <v>3.18</v>
      </c>
    </row>
    <row r="5" spans="1:17" ht="14.25" customHeight="1" x14ac:dyDescent="0.3">
      <c r="A5" s="3">
        <v>2</v>
      </c>
      <c r="B5" s="3" t="s">
        <v>47</v>
      </c>
      <c r="C5" s="3" t="s">
        <v>46</v>
      </c>
      <c r="D5" s="3" t="s">
        <v>48</v>
      </c>
      <c r="E5" s="3">
        <v>13</v>
      </c>
      <c r="F5" s="3">
        <v>6</v>
      </c>
      <c r="G5" s="3">
        <v>2</v>
      </c>
      <c r="H5" s="3">
        <v>3</v>
      </c>
      <c r="I5" s="3">
        <f t="shared" si="0"/>
        <v>11</v>
      </c>
      <c r="J5" s="3">
        <v>12</v>
      </c>
      <c r="K5" s="1">
        <f t="shared" si="1"/>
        <v>183.56</v>
      </c>
      <c r="L5" s="1">
        <f t="shared" si="2"/>
        <v>155.09</v>
      </c>
      <c r="N5" s="1">
        <v>3</v>
      </c>
      <c r="P5" s="1">
        <v>4.82</v>
      </c>
      <c r="Q5" s="1">
        <v>4.01</v>
      </c>
    </row>
    <row r="6" spans="1:17" ht="14.25" customHeight="1" x14ac:dyDescent="0.3">
      <c r="A6" s="3">
        <v>3</v>
      </c>
      <c r="B6" s="3" t="s">
        <v>49</v>
      </c>
      <c r="C6" s="3" t="s">
        <v>46</v>
      </c>
      <c r="D6" s="3">
        <v>10</v>
      </c>
      <c r="E6" s="3">
        <v>13</v>
      </c>
      <c r="F6" s="3">
        <v>1</v>
      </c>
      <c r="G6" s="3">
        <v>2</v>
      </c>
      <c r="H6" s="3">
        <v>3</v>
      </c>
      <c r="I6" s="3">
        <f t="shared" si="0"/>
        <v>6</v>
      </c>
      <c r="J6" s="3">
        <v>6</v>
      </c>
      <c r="K6" s="1">
        <f t="shared" si="1"/>
        <v>106.08</v>
      </c>
      <c r="L6" s="1">
        <f t="shared" si="2"/>
        <v>88.399999999999991</v>
      </c>
      <c r="N6" s="1">
        <v>4</v>
      </c>
      <c r="P6" s="1">
        <v>5.85</v>
      </c>
      <c r="Q6" s="1">
        <v>4.91</v>
      </c>
    </row>
    <row r="7" spans="1:17" ht="14.25" customHeight="1" x14ac:dyDescent="0.3">
      <c r="A7" s="3">
        <v>4</v>
      </c>
      <c r="B7" s="3" t="s">
        <v>50</v>
      </c>
      <c r="C7" s="3" t="s">
        <v>49</v>
      </c>
      <c r="D7" s="3">
        <v>11</v>
      </c>
      <c r="E7" s="3">
        <v>0.1</v>
      </c>
      <c r="F7" s="3">
        <v>1</v>
      </c>
      <c r="G7" s="3">
        <v>2</v>
      </c>
      <c r="H7" s="3">
        <v>3</v>
      </c>
      <c r="I7" s="3">
        <f t="shared" si="0"/>
        <v>6</v>
      </c>
      <c r="J7" s="3">
        <v>6</v>
      </c>
      <c r="K7" s="1">
        <f t="shared" si="1"/>
        <v>0.81600000000000006</v>
      </c>
      <c r="L7" s="1">
        <f t="shared" si="2"/>
        <v>0.68</v>
      </c>
      <c r="N7" s="1">
        <v>6</v>
      </c>
      <c r="P7" s="1">
        <v>8.16</v>
      </c>
      <c r="Q7" s="1">
        <v>6.8</v>
      </c>
    </row>
    <row r="8" spans="1:17" ht="14.25" customHeight="1" x14ac:dyDescent="0.3">
      <c r="A8" s="3">
        <v>5</v>
      </c>
      <c r="B8" s="3" t="s">
        <v>51</v>
      </c>
      <c r="C8" s="3" t="s">
        <v>46</v>
      </c>
      <c r="D8" s="3">
        <v>8.9</v>
      </c>
      <c r="E8" s="3">
        <v>12</v>
      </c>
      <c r="F8" s="3">
        <v>2</v>
      </c>
      <c r="G8" s="3">
        <v>2</v>
      </c>
      <c r="H8" s="3">
        <v>3</v>
      </c>
      <c r="I8" s="3">
        <f t="shared" si="0"/>
        <v>7</v>
      </c>
      <c r="J8" s="3">
        <v>8</v>
      </c>
      <c r="K8" s="1">
        <f t="shared" si="1"/>
        <v>119.16</v>
      </c>
      <c r="L8" s="1">
        <f t="shared" si="2"/>
        <v>100.80000000000001</v>
      </c>
      <c r="N8" s="1">
        <v>8</v>
      </c>
      <c r="P8" s="1">
        <v>9.93</v>
      </c>
      <c r="Q8" s="1">
        <v>8.4</v>
      </c>
    </row>
    <row r="9" spans="1:17" ht="14.25" customHeight="1" x14ac:dyDescent="0.3">
      <c r="A9" s="3">
        <v>6</v>
      </c>
      <c r="B9" s="3" t="s">
        <v>52</v>
      </c>
      <c r="C9" s="3" t="s">
        <v>46</v>
      </c>
      <c r="D9" s="3" t="s">
        <v>53</v>
      </c>
      <c r="E9" s="3">
        <v>12</v>
      </c>
      <c r="F9" s="3">
        <v>6</v>
      </c>
      <c r="G9" s="3">
        <v>2</v>
      </c>
      <c r="H9" s="3">
        <v>3</v>
      </c>
      <c r="I9" s="3">
        <f t="shared" si="0"/>
        <v>11</v>
      </c>
      <c r="J9" s="3">
        <v>12</v>
      </c>
      <c r="K9" s="1">
        <f t="shared" si="1"/>
        <v>169.44</v>
      </c>
      <c r="L9" s="1">
        <f t="shared" si="2"/>
        <v>143.16</v>
      </c>
      <c r="N9" s="1">
        <v>10</v>
      </c>
      <c r="P9" s="1">
        <v>12.27</v>
      </c>
      <c r="Q9" s="1">
        <v>10.32</v>
      </c>
    </row>
    <row r="10" spans="1:17" ht="14.25" customHeight="1" x14ac:dyDescent="0.3">
      <c r="A10" s="3">
        <v>7</v>
      </c>
      <c r="B10" s="3" t="s">
        <v>54</v>
      </c>
      <c r="C10" s="3" t="s">
        <v>55</v>
      </c>
      <c r="D10" s="3">
        <v>8.9</v>
      </c>
      <c r="E10" s="3">
        <v>0.1</v>
      </c>
      <c r="F10" s="3">
        <v>2</v>
      </c>
      <c r="G10" s="3">
        <v>2</v>
      </c>
      <c r="H10" s="3">
        <v>3</v>
      </c>
      <c r="I10" s="3">
        <f t="shared" si="0"/>
        <v>7</v>
      </c>
      <c r="J10" s="3">
        <v>8</v>
      </c>
      <c r="K10" s="1">
        <f t="shared" si="1"/>
        <v>0.99299999999999999</v>
      </c>
      <c r="L10" s="1">
        <f t="shared" si="2"/>
        <v>0.84000000000000008</v>
      </c>
      <c r="N10" s="1">
        <v>12</v>
      </c>
      <c r="P10" s="1">
        <v>14.12</v>
      </c>
      <c r="Q10" s="1">
        <v>11.93</v>
      </c>
    </row>
    <row r="11" spans="1:17" ht="14.25" customHeight="1" x14ac:dyDescent="0.3">
      <c r="A11" s="3">
        <v>8</v>
      </c>
      <c r="B11" s="3" t="s">
        <v>55</v>
      </c>
      <c r="C11" s="3" t="s">
        <v>46</v>
      </c>
      <c r="D11" s="3" t="s">
        <v>56</v>
      </c>
      <c r="E11" s="3">
        <v>10</v>
      </c>
      <c r="F11" s="3">
        <v>3</v>
      </c>
      <c r="G11" s="3">
        <v>2</v>
      </c>
      <c r="H11" s="3">
        <v>3</v>
      </c>
      <c r="I11" s="3">
        <f t="shared" si="0"/>
        <v>8</v>
      </c>
      <c r="J11" s="3">
        <v>8</v>
      </c>
      <c r="K11" s="1">
        <f t="shared" si="1"/>
        <v>99.3</v>
      </c>
      <c r="L11" s="1">
        <f t="shared" si="2"/>
        <v>84</v>
      </c>
      <c r="N11" s="1">
        <v>16</v>
      </c>
      <c r="P11" s="1">
        <v>18.010000000000002</v>
      </c>
      <c r="Q11" s="1">
        <v>15.4</v>
      </c>
    </row>
    <row r="12" spans="1:17" ht="14.25" customHeight="1" x14ac:dyDescent="0.3">
      <c r="A12" s="3">
        <v>9</v>
      </c>
      <c r="B12" s="3" t="s">
        <v>57</v>
      </c>
      <c r="C12" s="3" t="s">
        <v>46</v>
      </c>
      <c r="D12" s="3" t="s">
        <v>58</v>
      </c>
      <c r="E12" s="3">
        <v>8</v>
      </c>
      <c r="F12" s="3">
        <v>5</v>
      </c>
      <c r="G12" s="3">
        <v>2</v>
      </c>
      <c r="H12" s="3">
        <v>3</v>
      </c>
      <c r="I12" s="3">
        <f t="shared" si="0"/>
        <v>10</v>
      </c>
      <c r="J12" s="3">
        <v>10</v>
      </c>
      <c r="K12" s="1">
        <f t="shared" si="1"/>
        <v>98.16</v>
      </c>
      <c r="L12" s="1">
        <f t="shared" si="2"/>
        <v>82.56</v>
      </c>
      <c r="N12" s="1">
        <v>20</v>
      </c>
      <c r="P12" s="1">
        <v>22.65</v>
      </c>
      <c r="Q12" s="1">
        <v>18.97</v>
      </c>
    </row>
    <row r="13" spans="1:17" ht="14.25" customHeight="1" x14ac:dyDescent="0.3">
      <c r="A13" s="3">
        <v>10</v>
      </c>
      <c r="B13" s="3" t="s">
        <v>59</v>
      </c>
      <c r="C13" s="3" t="s">
        <v>46</v>
      </c>
      <c r="D13" s="3" t="s">
        <v>60</v>
      </c>
      <c r="E13" s="3">
        <v>13</v>
      </c>
      <c r="F13" s="3">
        <v>6</v>
      </c>
      <c r="G13" s="3">
        <v>2</v>
      </c>
      <c r="H13" s="3">
        <v>3</v>
      </c>
      <c r="I13" s="3">
        <f t="shared" si="0"/>
        <v>11</v>
      </c>
      <c r="J13" s="3">
        <v>12</v>
      </c>
      <c r="K13" s="1">
        <f t="shared" si="1"/>
        <v>183.56</v>
      </c>
      <c r="L13" s="1">
        <f t="shared" si="2"/>
        <v>155.09</v>
      </c>
      <c r="N13" s="1">
        <v>26</v>
      </c>
      <c r="P13" s="1">
        <v>28.62</v>
      </c>
      <c r="Q13" s="1">
        <v>23.93</v>
      </c>
    </row>
    <row r="14" spans="1:17" ht="14.25" customHeight="1" x14ac:dyDescent="0.3">
      <c r="A14" s="3">
        <v>11</v>
      </c>
      <c r="B14" s="3" t="s">
        <v>61</v>
      </c>
      <c r="C14" s="3" t="s">
        <v>46</v>
      </c>
      <c r="D14" s="3">
        <v>7</v>
      </c>
      <c r="E14" s="3">
        <v>5</v>
      </c>
      <c r="F14" s="3">
        <v>1</v>
      </c>
      <c r="G14" s="3">
        <v>2</v>
      </c>
      <c r="H14" s="3">
        <v>3</v>
      </c>
      <c r="I14" s="3">
        <f t="shared" si="0"/>
        <v>6</v>
      </c>
      <c r="J14" s="3">
        <v>6</v>
      </c>
      <c r="K14" s="1">
        <f t="shared" si="1"/>
        <v>40.799999999999997</v>
      </c>
      <c r="L14" s="1">
        <f t="shared" si="2"/>
        <v>34</v>
      </c>
      <c r="N14" s="1">
        <v>32</v>
      </c>
      <c r="P14" s="1">
        <v>33.64</v>
      </c>
      <c r="Q14" s="1">
        <v>28.6</v>
      </c>
    </row>
    <row r="15" spans="1:17" ht="14.25" customHeight="1" x14ac:dyDescent="0.3">
      <c r="A15" s="3">
        <v>12</v>
      </c>
      <c r="B15" s="3" t="s">
        <v>62</v>
      </c>
      <c r="C15" s="3" t="s">
        <v>46</v>
      </c>
      <c r="D15" s="3">
        <v>4</v>
      </c>
      <c r="E15" s="3">
        <v>5</v>
      </c>
      <c r="F15" s="3">
        <v>1</v>
      </c>
      <c r="G15" s="3">
        <v>2</v>
      </c>
      <c r="H15" s="3">
        <v>3</v>
      </c>
      <c r="I15" s="3">
        <f t="shared" si="0"/>
        <v>6</v>
      </c>
      <c r="J15" s="3">
        <v>6</v>
      </c>
      <c r="K15" s="1">
        <f t="shared" si="1"/>
        <v>40.799999999999997</v>
      </c>
      <c r="L15" s="1">
        <f t="shared" si="2"/>
        <v>34</v>
      </c>
    </row>
    <row r="16" spans="1:17" ht="14.25" customHeight="1" x14ac:dyDescent="0.3">
      <c r="A16" s="3">
        <v>13</v>
      </c>
      <c r="B16" s="3" t="s">
        <v>63</v>
      </c>
      <c r="C16" s="3" t="s">
        <v>46</v>
      </c>
      <c r="D16" s="3">
        <v>5.6</v>
      </c>
      <c r="E16" s="3">
        <v>5</v>
      </c>
      <c r="F16" s="3">
        <v>1</v>
      </c>
      <c r="G16" s="3">
        <v>2</v>
      </c>
      <c r="H16" s="3">
        <v>3</v>
      </c>
      <c r="I16" s="3">
        <f t="shared" si="0"/>
        <v>6</v>
      </c>
      <c r="J16" s="3">
        <v>6</v>
      </c>
      <c r="K16" s="1">
        <f t="shared" si="1"/>
        <v>40.799999999999997</v>
      </c>
      <c r="L16" s="1">
        <f t="shared" si="2"/>
        <v>34</v>
      </c>
    </row>
    <row r="17" spans="1:12" ht="14.25" customHeight="1" x14ac:dyDescent="0.3">
      <c r="A17" s="3">
        <v>14</v>
      </c>
      <c r="B17" s="3" t="s">
        <v>71</v>
      </c>
      <c r="C17" s="3" t="s">
        <v>46</v>
      </c>
      <c r="D17" s="3" t="s">
        <v>64</v>
      </c>
      <c r="E17" s="3">
        <v>6</v>
      </c>
      <c r="F17" s="3">
        <v>3</v>
      </c>
      <c r="G17" s="3">
        <v>2</v>
      </c>
      <c r="H17" s="3">
        <v>3</v>
      </c>
      <c r="I17" s="3">
        <f t="shared" si="0"/>
        <v>8</v>
      </c>
      <c r="J17" s="3">
        <v>8</v>
      </c>
      <c r="K17" s="1">
        <f t="shared" si="1"/>
        <v>59.58</v>
      </c>
      <c r="L17" s="1">
        <f t="shared" si="2"/>
        <v>50.400000000000006</v>
      </c>
    </row>
    <row r="18" spans="1:12" ht="14.25" customHeight="1" x14ac:dyDescent="0.3">
      <c r="A18" s="3">
        <v>15</v>
      </c>
      <c r="B18" s="3" t="s">
        <v>65</v>
      </c>
      <c r="C18" s="3" t="s">
        <v>46</v>
      </c>
      <c r="D18" s="3" t="s">
        <v>66</v>
      </c>
      <c r="E18" s="3"/>
      <c r="F18" s="3">
        <v>6</v>
      </c>
      <c r="G18" s="3">
        <v>2</v>
      </c>
      <c r="H18" s="3">
        <v>3</v>
      </c>
      <c r="I18" s="3">
        <f t="shared" si="0"/>
        <v>11</v>
      </c>
      <c r="J18" s="3">
        <v>12</v>
      </c>
      <c r="K18" s="1">
        <f t="shared" si="1"/>
        <v>0</v>
      </c>
      <c r="L18" s="1">
        <f t="shared" si="2"/>
        <v>0</v>
      </c>
    </row>
    <row r="19" spans="1:12" ht="14.25" customHeight="1" x14ac:dyDescent="0.3"/>
    <row r="20" spans="1:12" ht="14.25" customHeight="1" x14ac:dyDescent="0.3">
      <c r="J20" s="2" t="s">
        <v>9</v>
      </c>
      <c r="K20" s="4">
        <f t="shared" ref="K20:L20" si="3">SUM(K4:K18)</f>
        <v>1257.2889999999998</v>
      </c>
      <c r="L20" s="4">
        <f t="shared" si="3"/>
        <v>1058.22</v>
      </c>
    </row>
    <row r="21" spans="1:12" ht="14.25" customHeight="1" x14ac:dyDescent="0.3"/>
    <row r="22" spans="1:12" ht="14.25" customHeight="1" x14ac:dyDescent="0.3"/>
    <row r="23" spans="1:12" ht="14.25" customHeight="1" x14ac:dyDescent="0.3"/>
    <row r="24" spans="1:12" ht="14.25" customHeight="1" x14ac:dyDescent="0.3"/>
    <row r="25" spans="1:12" ht="14.25" customHeight="1" x14ac:dyDescent="0.3"/>
    <row r="26" spans="1:12" ht="14.25" customHeight="1" x14ac:dyDescent="0.3"/>
    <row r="27" spans="1:12" ht="14.25" customHeight="1" x14ac:dyDescent="0.3"/>
    <row r="28" spans="1:12" ht="14.25" customHeight="1" x14ac:dyDescent="0.3"/>
    <row r="29" spans="1:12" ht="14.25" customHeight="1" x14ac:dyDescent="0.3"/>
    <row r="30" spans="1:12" ht="14.25" customHeight="1" x14ac:dyDescent="0.3"/>
    <row r="31" spans="1:12" ht="14.25" customHeight="1" x14ac:dyDescent="0.3"/>
    <row r="32" spans="1:1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J1"/>
  </mergeCells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D2" sqref="D2"/>
    </sheetView>
  </sheetViews>
  <sheetFormatPr defaultColWidth="14.44140625" defaultRowHeight="15" customHeight="1" x14ac:dyDescent="0.3"/>
  <cols>
    <col min="1" max="1" width="18" customWidth="1"/>
    <col min="2" max="2" width="19.88671875" customWidth="1"/>
    <col min="3" max="4" width="8.6640625" customWidth="1"/>
    <col min="5" max="5" width="19.33203125" customWidth="1"/>
    <col min="6" max="26" width="8.6640625" customWidth="1"/>
  </cols>
  <sheetData>
    <row r="1" spans="1:7" ht="15" customHeight="1" x14ac:dyDescent="0.3">
      <c r="A1" s="16" t="s">
        <v>69</v>
      </c>
      <c r="B1" s="17"/>
      <c r="D1" s="16" t="s">
        <v>70</v>
      </c>
      <c r="E1" s="17"/>
    </row>
    <row r="3" spans="1:7" ht="14.4" x14ac:dyDescent="0.3">
      <c r="A3" s="5" t="s">
        <v>10</v>
      </c>
      <c r="B3" s="6" t="s">
        <v>67</v>
      </c>
      <c r="D3" s="5" t="s">
        <v>10</v>
      </c>
      <c r="E3" s="6" t="s">
        <v>67</v>
      </c>
    </row>
    <row r="4" spans="1:7" ht="14.4" x14ac:dyDescent="0.3">
      <c r="A4" s="7">
        <v>6</v>
      </c>
      <c r="B4" s="18">
        <v>42.1</v>
      </c>
      <c r="D4" s="7">
        <v>6</v>
      </c>
      <c r="E4" s="18">
        <v>27.5</v>
      </c>
      <c r="G4" s="1">
        <f>27.5+42.1</f>
        <v>69.599999999999994</v>
      </c>
    </row>
    <row r="5" spans="1:7" ht="14.4" x14ac:dyDescent="0.3">
      <c r="A5" s="8">
        <v>8</v>
      </c>
      <c r="B5" s="19">
        <v>28.1</v>
      </c>
      <c r="D5" s="8">
        <v>8</v>
      </c>
      <c r="E5" s="19">
        <v>13.5</v>
      </c>
      <c r="G5" s="1">
        <f>13.5+28.1</f>
        <v>41.6</v>
      </c>
    </row>
    <row r="6" spans="1:7" ht="14.4" x14ac:dyDescent="0.3">
      <c r="A6" s="8">
        <v>10</v>
      </c>
      <c r="B6" s="19">
        <v>8</v>
      </c>
      <c r="D6" s="8">
        <v>10</v>
      </c>
      <c r="E6" s="19">
        <v>52.4</v>
      </c>
      <c r="G6" s="1">
        <f>52.4+8</f>
        <v>60.4</v>
      </c>
    </row>
    <row r="7" spans="1:7" ht="14.4" x14ac:dyDescent="0.3">
      <c r="A7" s="8">
        <v>12</v>
      </c>
      <c r="B7" s="19">
        <v>38</v>
      </c>
      <c r="D7" s="8">
        <v>12</v>
      </c>
      <c r="E7" s="19">
        <v>22.5</v>
      </c>
      <c r="G7" s="1">
        <f>38+22.5</f>
        <v>60.5</v>
      </c>
    </row>
    <row r="8" spans="1:7" ht="14.4" x14ac:dyDescent="0.3">
      <c r="A8" s="9" t="s">
        <v>68</v>
      </c>
      <c r="B8" s="20">
        <v>116.2</v>
      </c>
      <c r="D8" s="8">
        <v>16</v>
      </c>
      <c r="E8" s="19">
        <v>6.5</v>
      </c>
    </row>
    <row r="9" spans="1:7" ht="14.4" x14ac:dyDescent="0.3">
      <c r="D9" s="8">
        <v>20</v>
      </c>
      <c r="E9" s="19">
        <v>7</v>
      </c>
    </row>
    <row r="10" spans="1:7" ht="14.4" x14ac:dyDescent="0.3">
      <c r="D10" s="9" t="s">
        <v>68</v>
      </c>
      <c r="E10" s="20">
        <v>129.4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B1"/>
    <mergeCell ref="D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1:A1000"/>
  <sheetViews>
    <sheetView workbookViewId="0"/>
  </sheetViews>
  <sheetFormatPr defaultColWidth="14.44140625" defaultRowHeight="15" customHeight="1" x14ac:dyDescent="0.3"/>
  <cols>
    <col min="1" max="1" width="18" customWidth="1"/>
    <col min="2" max="2" width="19.88671875" customWidth="1"/>
    <col min="3" max="26" width="8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 PAVIMENTO SUPERIOR</vt:lpstr>
      <vt:lpstr>DADOS PAVIMENTO INFERIOR</vt:lpstr>
      <vt:lpstr>Planilha2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Geremia</dc:creator>
  <cp:lastModifiedBy>Felipe Tonietto</cp:lastModifiedBy>
  <dcterms:created xsi:type="dcterms:W3CDTF">2025-01-28T13:21:05Z</dcterms:created>
  <dcterms:modified xsi:type="dcterms:W3CDTF">2026-01-22T13:05:09Z</dcterms:modified>
</cp:coreProperties>
</file>